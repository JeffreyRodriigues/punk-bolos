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rametros de Custo" sheetId="1" r:id="rId1"/>
    <sheet name="Ficha Tecnica &amp; Simulador" sheetId="2" r:id="rId2"/>
    <sheet name="Ponto de Equilibrio &amp; Metas" sheetId="3" r:id="rId3"/>
  </sheets>
</workbook>
</file>

<file path=xl/styles.xml><?xml version="1.0" encoding="utf-8"?>
<styleSheet xmlns="http://schemas.openxmlformats.org/spreadsheetml/2006/main">
  <numFmts count="4">
    <numFmt numFmtId="164" formatCode="&quot;R$&quot; #,##0.00"/>
    <numFmt numFmtId="165" formatCode="&quot;R$&quot; #,##0.0000"/>
    <numFmt numFmtId="166" formatCode="0.0%"/>
    <numFmt numFmtId="167" formatCode="#,##0"/>
  </numFmts>
  <fonts count="6">
    <font>
      <sz val="11"/>
      <name val="Calibri"/>
    </font>
    <font>
      <b/>
      <sz val="11"/>
      <name val="Calibri"/>
    </font>
    <font>
      <b/>
      <sz val="14"/>
      <color rgb="FFFFFFFF"/>
      <name val="Calibri"/>
    </font>
    <font>
      <b/>
      <sz val="11"/>
      <color rgb="FF1F497D"/>
      <name val="Calibri"/>
    </font>
    <font>
      <b/>
      <sz val="12"/>
      <color rgb="FF006100"/>
      <name val="Calibri"/>
    </font>
    <font>
      <i/>
      <sz val="10"/>
      <color rgb="FF59595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6F1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3"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1F497D"/>
      </left>
      <right style="thin">
        <color rgb="FF1F497D"/>
      </right>
      <top style="thin">
        <color rgb="FF1F497D"/>
      </top>
      <bottom style="double">
        <color rgb="FF1F497D"/>
      </bottom>
    </border>
  </borders>
  <cellStyleXfs count="1">
    <xf numFmtId="0" fontId="0" fillId="0" borderId="0"/>
  </cellStyleXfs>
  <cellXfs count="12">
    <!-- 0: normal -->
    <xf numFmtId="0" fontId="0" fillId="0" borderId="1" xfId="0" applyBorder="1"/>
    <!-- 1: title header (Dark Blue Background, White Bold Text) -->
    <xf numFmtId="0" fontId="2" fillId="2" borderId="0" xfId="0" applyFont="1" applyFill="1" applyAlignment="1">
      <alignment horizontal="center" vertical="center"/>
    </xf>
    <!-- 2: section subheader (Soft Blue, Bold Text) -->
    <xf numFmtId="0" fontId="3" fillId="3" borderId="1" xfId="0" applyFont="1" applyFill="1" applyBorder="1"/>
    <!-- 3: label bold -->
    <xf numFmtId="0" fontId="1" fillId="0" borderId="1" xfId="0" applyFont="1" applyBorder="1"/>
    <!-- 4: currency (R$ 0.00) -->
    <xf numFmtId="164" fontId="0" fillId="0" borderId="1" xfId="0" applyNumberFormat="1" applyBorder="1"/>
    <!-- 5: currency bold -->
    <xf numFmtId="164" fontId="1" fillId="0" borderId="1" xfId="0" applyNumberFormat="1" applyFont="1" applyBorder="1"/>
    <!-- 6: currency total highlighted -->
    <xf numFmtId="164" fontId="1" fillId="3" borderId="2" xfId="0" applyNumberFormat="1" applyFont="1" applyFill="1" applyBorder="1"/>
    <!-- 7: currency precise (4 decimals) -->
    <xf numFmtId="165" fontId="1" fillId="5" borderId="1" xfId="0" applyNumberFormat="1" applyFont="1" applyFill="1" applyBorder="1"/>
    <!-- 8: percentage -->
    <xf numFmtId="166" fontId="0" fillId="0" borderId="1" xfId="0" applyNumberFormat="1" applyBorder="1"/>
    <!-- 9: integer count -->
    <xf numFmtId="167" fontId="0" fillId="0" borderId="1" xfId="0" applyNumberFormat="1" applyBorder="1"/>
    <!-- 10: green highlight success (Lucro) -->
    <xf numFmtId="164" fontId="4" fillId="4" borderId="1" xfId="0" applyNumberFormat="1" applyFont="1" applyFill="1" applyBorder="1"/>
    <!-- 11: note italic -->
    <xf numFmtId="0" fontId="5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8" customWidth="1"/>
    <col min="2" max="2" width="18" customWidth="1"/>
    <col min="3" max="3" width="48" customWidth="1"/>
  </cols>
  <sheetData>
    <row r="1" ht="32" customHeight="1">
      <c r="A1" s="1" t="inlineStr">
        <is>
          <t>PUNK BOLOS — PARÂMETROS GLOBAIS DE CUSTOS (SENAC / SEBRAE)</t>
        </is>
      </c>
      <c r="B1" s="1"/>
      <c r="C1" s="1"/>
    </row>
    <row r="2">
      <c r="A2" s="11" t="inlineStr">
        <is>
          <t>Preencha os valores nas células da Coluna B para calibrar automaticamente toda a formação de preços.</t>
        </is>
      </c>
    </row>
    <!-- Bloco 1 -->
    <row r="4" ht="24" customHeight="1">
      <c r="A4" s="2" t="inlineStr">
        <is>
          <t>1. CUSTOS FIXOS MENSAIS (ESTRUTURA)</t>
        </is>
      </c>
      <c r="B4" s="2" t="inlineStr">
        <is>
          <t>VALOR (R$)</t>
        </is>
      </c>
      <c r="C4" s="2" t="inlineStr">
        <is>
          <t>OBSERVAÇÃO / REGRA SEBRAE</t>
        </is>
      </c>
    </row>
    <row r="5">
      <c r="A5" s="0" t="inlineStr">
        <is>
          <t>Aluguel do Espaço</t>
        </is>
      </c>
      <c r="B5" s="4">
        <v>0.00</v>
      </c>
      <c r="C5" s="0" t="inlineStr">
        <is>
          <t>Deixe 0,00 se trabalhar em residência própria</t>
        </is>
      </c>
    </row>
    <row r="6">
      <c r="A6" s="0" t="inlineStr">
        <is>
          <t>Energia Elétrica</t>
        </is>
      </c>
      <c r="B6" s="4">
        <v>160.00</v>
      </c>
      <c r="C6" s="0" t="inlineStr">
        <is>
          <t>Média mensal (forno elétrico, batedeiras, geladeiras)</t>
        </is>
      </c>
    </row>
    <row r="7">
      <c r="A7" s="0" t="inlineStr">
        <is>
          <t>Gás GLP / Forno</t>
        </is>
      </c>
      <c r="B7" s="4">
        <v>130.00</v>
      </c>
      <c r="C7" s="0" t="inlineStr">
        <is>
          <t>Consumo médio de botijão P13 ou P45</t>
        </is>
      </c>
    </row>
    <row r="8">
      <c r="A8" s="0" t="inlineStr">
        <is>
          <t>Água e Saneamento</t>
        </is>
      </c>
      <c r="B8" s="4">
        <v>70.00</v>
      </c>
      <c r="C8" s="0" t="inlineStr">
        <is>
          <t>Higienização constante de louças e bancadas</t>
        </is>
      </c>
    </row>
    <row r="9">
      <c r="A9" s="0" t="inlineStr">
        <is>
          <t>Internet e Sistemas</t>
        </is>
      </c>
      <c r="B9" s="4">
        <v>90.00</v>
      </c>
      <c r="C9" s="0" t="inlineStr">
        <is>
          <t>Sistema de gestão, WhatsApp e comunicação</t>
        </is>
      </c>
    </row>
    <row r="10">
      <c r="A10" s="0" t="inlineStr">
        <is>
          <t>Manutenção / Depreciação</t>
        </is>
      </c>
      <c r="B10" s="4">
        <v>80.00</v>
      </c>
      <c r="C10" s="0" t="inlineStr">
        <is>
          <t>Reserva mensal para conserto/reposição de equipamentos</t>
        </is>
      </c>
    </row>
    <row r="11">
      <c r="A11" s="0" t="inlineStr">
        <is>
          <t>Contador ou DAS-MEI</t>
        </is>
      </c>
      <c r="B11" s="4">
        <v>75.00</v>
      </c>
      <c r="C11" s="0" t="inlineStr">
        <is>
          <t>Guia DAS do MEI ou honorários de contabilidade</t>
        </is>
      </c>
    </row>
    <row r="12">
      <c r="A12" s="0" t="inlineStr">
        <is>
          <t>Produtos de Limpeza</t>
        </is>
      </c>
      <c r="B12" s="4">
        <v>60.00</v>
      </c>
      <c r="C12" s="0" t="inlineStr">
        <is>
          <t>Álcool 70%, detergentes, toucas e papel toalha</t>
        </is>
      </c>
    </row>
    <row r="13">
      <c r="A13" s="0" t="inlineStr">
        <is>
          <t>Outros Custos Fixos</t>
        </is>
      </c>
      <c r="B13" s="4">
        <v>0.00</v>
      </c>
      <c r="C13" s="0" t="inlineStr">
        <is>
          <t>Demais despesas fixas da estrutura</t>
        </is>
      </c>
    </row>
    <row r="14" ht="22" customHeight="1">
      <c r="A14" s="3" t="inlineStr">
        <is>
          <t>TOTAL DE CUSTOS FIXOS MENSAIS</t>
        </is>
      </c>
      <c r="B14" s="6">
        <f>SUM(B5:B13)</f>
        <v>665.00</v>
      </c>
      <c r="C14" s="3" t="inlineStr">
        <is>
          <t>Soma calculada automaticamente</t>
        </is>
      </c>
    </row>
    <!-- Bloco 2 -->
    <row r="16" ht="24" customHeight="1">
      <c r="A16" s="2" t="inlineStr">
        <is>
          <t>2. MÃO DE OBRA DIRETA (MOD) &amp; EQUIPE</t>
        </is>
      </c>
      <c r="B16" s="2" t="inlineStr">
        <is>
          <t>VALOR</t>
        </is>
      </c>
      <c r="C16" s="2" t="inlineStr">
        <is>
          <t>DETALHAMENTO</t>
        </is>
      </c>
    </row>
    <row r="17">
      <c r="A17" s="0" t="inlineStr">
        <is>
          <t>Pró-Labore do Confeiteiro</t>
        </is>
      </c>
      <c r="B17" s="4">
        <v>3000.00</v>
      </c>
      <c r="C17" s="0" t="inlineStr">
        <is>
          <t>Salário pretendido pelo proprietário/confeiteiro</t>
        </is>
      </c>
    </row>
    <row r="18">
      <c r="A18" s="0" t="inlineStr">
        <is>
          <t>Salário de Ajudantes (Equipe)</t>
        </is>
      </c>
      <c r="B18" s="4">
        <v>0.00</v>
      </c>
      <c r="C18" s="0" t="inlineStr">
        <is>
          <t>Salário base bruto dos funcionários (0 se trabalhar só)</t>
        </is>
      </c>
    </row>
    <row r="19">
      <c r="A19" s="0" t="inlineStr">
        <is>
          <t>Encargos Sociais CLT (%)</t>
        </is>
      </c>
      <c r="B19" s="8">
        <v>0.3424</v>
      </c>
      <c r="C19" s="0" t="inlineStr">
        <is>
          <t>13º (8,33%) + Férias (11,11%) + FGTS (8%) + Multa (3,2%) + outros (3,6%)</t>
        </is>
      </c>
    </row>
    <row r="20">
      <c r="A20" s="0" t="inlineStr">
        <is>
          <t>Provisão de Encargos Trabalhistas (R$)</t>
        </is>
      </c>
      <c r="B20" s="4">
        <f>IF(B18&gt;0, B18*B19, 0)</f>
        <v>0.00</v>
      </c>
      <c r="C20" s="0" t="inlineStr">
        <is>
          <t>Calculado sobre o salário dos ajudantes</t>
        </is>
      </c>
    </row>
    <row r="21">
      <c r="A21" s="0" t="inlineStr">
        <is>
          <t>Benefícios Mensais (VT/VR/Cesta)</t>
        </is>
      </c>
      <c r="B21" s="4">
        <v>0.00</v>
      </c>
      <c r="C21" s="0" t="inlineStr">
        <is>
          <t>Valor total pago à equipe no mês</t>
        </is>
      </c>
    </row>
    <row r="22" ht="22" customHeight="1">
      <c r="A22" s="3" t="inlineStr">
        <is>
          <t>TOTAL MÃO DE OBRA MENSAL</t>
        </is>
      </c>
      <c r="B22" s="6">
        <f>B17+B18+B20+B21</f>
        <v>3000.00</v>
      </c>
      <c r="C22" s="3" t="inlineStr">
        <is>
          <t>Salário total do confeiteiro + equipe com encargos</t>
        </is>
      </c>
    </row>
    <!-- Bloco 3 -->
    <row r="24" ht="24" customHeight="1">
      <c r="A24" s="2" t="inlineStr">
        <is>
          <t>3. JORNADA DE TRABALHO &amp; CAPACIDADE</t>
        </is>
      </c>
      <c r="B24" s="2" t="inlineStr">
        <is>
          <t>VALOR</t>
        </is>
      </c>
      <c r="C24" s="2" t="inlineStr">
        <is>
          <t>IMPACTO NA PRODUÇÃO</t>
        </is>
      </c>
    </row>
    <row r="25">
      <c r="A25" s="0" t="inlineStr">
        <is>
          <t>Dias Trabalhados no Mês</t>
        </is>
      </c>
      <c r="B25" s="9">
        <v>22</v>
      </c>
      <c r="C25" s="0" t="inlineStr">
        <is>
          <t>22 dias (Segunda a Sexta) ou 26 dias (Segunda a Sábado)</t>
        </is>
      </c>
    </row>
    <row r="26">
      <c r="A26" s="0" t="inlineStr">
        <is>
          <t>Horas Trabalhadas por Dia</t>
        </is>
      </c>
      <c r="B26" s="9">
        <v>8</v>
      </c>
      <c r="C26" s="0" t="inlineStr">
        <is>
          <t>Jornada diária dedicada à produção</t>
        </is>
      </c>
    </row>
    <row r="27">
      <c r="A27" s="3" t="inlineStr">
        <is>
          <t>Horas Produtivas no Mês</t>
        </is>
      </c>
      <c r="B27" s="9">
        <f>B25*B26</f>
        <v>176</v>
      </c>
      <c r="C27" s="0" t="inlineStr">
        <is>
          <t>Capacidade mensal de produção em horas</t>
        </is>
      </c>
    </row>
    <row r="28">
      <c r="A28" s="3" t="inlineStr">
        <is>
          <t>Minutos Produtivos no Mês</t>
        </is>
      </c>
      <c r="B28" s="9">
        <f>B27*60</f>
        <v>10560</v>
      </c>
      <c r="C28" s="0" t="inlineStr">
        <is>
          <t>Capacidade mensal de produção em minutos</t>
        </is>
      </c>
    </row>
    <!-- Taxas Calculadas -->
    <row r="30" ht="24" customHeight="1">
      <c r="A30" s="2" t="inlineStr">
        <is>
          <t>TAXAS HORÁRIAS CALCULADAS</t>
        </is>
      </c>
      <c r="B30" s="2" t="inlineStr">
        <is>
          <t>TAXA</t>
        </is>
      </c>
      <c r="C30" s="2" t="inlineStr">
        <is>
          <t>FÓRMULA AUTOMÁTICA</t>
        </is>
      </c>
    </row>
    <row r="31">
      <c r="A31" s="0" t="inlineStr">
        <is>
          <t>Custo Hora Mão de Obra (MOD)</t>
        </is>
      </c>
      <c r="B31" s="5">
        <f>IF(B27&gt;0, B22/B27, 0)</f>
        <v>17.05</v>
      </c>
      <c r="C31" s="0" t="inlineStr">
        <is>
          <t>= Total Mão de Obra / Horas Mensais</t>
        </is>
      </c>
    </row>
    <row r="32">
      <c r="A32" s="0" t="inlineStr">
        <is>
          <t>Custo Minuto Mão de Obra (MOD)</t>
        </is>
      </c>
      <c r="B32" s="7">
        <f>IF(B28&gt;0, B22/B28, 0)</f>
        <v>0.2841</v>
      </c>
      <c r="C32" s="0" t="inlineStr">
        <is>
          <t>= Total Mão de Obra / Minutos Mensais</t>
        </is>
      </c>
    </row>
    <row r="33">
      <c r="A33" s="0" t="inlineStr">
        <is>
          <t>Custo Hora Fixo (Estrutura)</t>
        </is>
      </c>
      <c r="B33" s="5">
        <f>IF(B27&gt;0, B14/B27, 0)</f>
        <v>3.78</v>
      </c>
      <c r="C33" s="0" t="inlineStr">
        <is>
          <t>= Total Custos Fixos / Horas Mensais</t>
        </is>
      </c>
    </row>
    <row r="34">
      <c r="A34" s="0" t="inlineStr">
        <is>
          <t>Custo Minuto Fixo (Estrutura)</t>
        </is>
      </c>
      <c r="B34" s="7">
        <f>IF(B28&gt;0, B14/B28, 0)</f>
        <v>0.0630</v>
      </c>
      <c r="C34" s="0" t="inlineStr">
        <is>
          <t>= Total Custos Fixos / Minutos Mensais</t>
        </is>
      </c>
    </row>
    <!-- Bloco 4 -->
    <row r="36" ht="24" customHeight="1">
      <c r="A36" s="2" t="inlineStr">
        <is>
          <t>4. TAXAS DE VENDA, SEGURANÇA &amp; LUCRO</t>
        </is>
      </c>
      <c r="B36" s="2" t="inlineStr">
        <is>
          <t>PERCENTUAL</t>
        </is>
      </c>
      <c r="C36" s="2" t="inlineStr">
        <is>
          <t>FINALIDADE</t>
        </is>
      </c>
    </row>
    <row r="37">
      <c r="A37" s="0" t="inlineStr">
        <is>
          <t>Imposto sobre a Venda (%)</t>
        </is>
      </c>
      <c r="B37" s="8">
        <v>0.04</v>
      </c>
      <c r="C37" t="inlineStr">
        <is>
          <t>Alíquota do Simples Nacional (ou 0% para MEI)</t>
        </is>
      </c>
    </row>
    <row r="38">
      <c r="A38" s="0" t="inlineStr">
        <is>
          <t>Taxa Média Maquininha (%)</t>
        </is>
      </c>
      <c r="B38" s="8">
        <v>0.035</v>
      </c>
      <c r="C38" t="inlineStr">
        <is>
          <t>Média ponderada das taxas de cartão/PIX</t>
        </is>
      </c>
    </row>
    <row r="39">
      <c r="A39" s="0" t="inlineStr">
        <is>
          <t>Quebra Técnica de Insumos (%)</t>
        </is>
      </c>
      <c r="B39" s="8">
        <v>0.03</v>
      </c>
      <c r="C39" t="inlineStr">
        <is>
          <t>Margem de segurança para perdas de cocção e manipulação (3%)</t>
        </is>
      </c>
    </row>
    <row r="40">
      <c r="A40" s="0" t="inlineStr">
        <is>
          <t>Margem Líquida Padrão (%)</t>
        </is>
      </c>
      <c r="B40" s="8">
        <v>0.25</v>
      </c>
      <c r="C40" t="inlineStr">
        <is>
          <t>Lucro líquido padrão desejado no caixa da empresa (25%)</t>
        </is>
      </c>
    </row>
    <row r="41" ht="22" customHeight="1">
      <c r="A41" s="3" t="inlineStr">
        <is>
          <t>TOTAL DEDUÇÕES SOBRE A VENDA (%)</t>
        </is>
      </c>
      <c r="B41" s="8">
        <f>B37+B38</f>
        <v>0.075</v>
      </c>
      <c r="C41" s="3" t="inlineStr">
        <is>
          <t>Taxas retidas sobre o preço bruto de venda (7,5%)</t>
        </is>
      </c>
    </row>
  </sheetData>
</worksheet>
</file>

<file path=xl/worksheets/sheet2.xml><?xml version="1.0" encoding="utf-8"?>
<worksheet xmlns="http://schemas.openxmlformats.org/spreadsheetml/2006/main">
  <cols>
    <col min="1" max="1" width="32" customWidth="1"/>
    <col min="2" max="2" width="14" customWidth="1"/>
    <col min="3" max="3" width="12" customWidth="1"/>
    <col min="4" max="4" width="20" customWidth="1"/>
    <col min="5" max="5" width="20" customWidth="1"/>
    <col min="6" max="6" width="20" customWidth="1"/>
  </cols>
  <sheetData>
    <row r="1" ht="32" customHeight="1">
      <c r="A1" s="1" t="inlineStr">
        <is>
          <t>FICHA TÉCNICA &amp; SIMULADOR DE PREÇO (SENAC / SEBRAE)</t>
        </is>
      </c>
      <c r="B1" s="1"/>
      <c r="C1" s="1"/>
      <c r="D1" s="1"/>
      <c r="E1" s="1"/>
      <c r="F1" s="1"/>
    </row>
    <row r="3" ht="24" customHeight="1">
      <c r="A3" s="2" t="inlineStr">
        <is>
          <t>PARÂMETROS DO PRODUTO</t>
        </is>
      </c>
      <c r="B3" s="2" t="inlineStr">
        <is>
          <t>VALOR INFORMADO</t>
        </is>
      </c>
      <c r="C3" s="2" t="inlineStr">
        <is>
          <t>UNIDADE</t>
        </is>
      </c>
      <c r="D3" s="2"/>
      <c r="E3" s="2"/>
      <c r="F3" s="2"/>
    </row>
    <row r="4">
      <c r="A4" s="3" t="inlineStr">
        <is>
          <t>Nome do Produto</t>
        </is>
      </c>
      <c r="B4" s="0" t="inlineStr">
        <is>
          <t>Brigadeiro Tradicional Artesanal</t>
        </is>
      </c>
      <c r="C4" s="0"/>
    </row>
    <row r="5">
      <c r="A5" s="3" t="inlineStr">
        <is>
          <t>Tempo de Preparo / Mão de Obra</t>
        </is>
      </c>
      <c r="B5" s="9">
        <v>30</v>
      </c>
      <c r="C5" s="0" t="inlineStr">
        <is>
          <t>minutos</t>
        </is>
      </c>
    </row>
    <row r="6">
      <c r="A6" s="3" t="inlineStr">
        <is>
          <t>Rendimento da Receita (Lote)</t>
        </is>
      </c>
      <c r="B6" s="9">
        <v>100</v>
      </c>
      <c r="C6" s="0" t="inlineStr">
        <is>
          <t>unidades</t>
        </is>
      </c>
    </row>
    <row r="7">
      <c r="A7" s="3" t="inlineStr">
        <is>
          <t>Embalagem &amp; Adicionais (por un)</t>
        </is>
      </c>
      <c r="B7" s="4">
        <v>0.00</v>
      </c>
      <c r="C7" s="0" t="inlineStr">
        <is>
          <t>R$ / un</t>
        </is>
      </c>
    </row>
    <row r="8">
      <c r="A8" s="3" t="inlineStr">
        <is>
          <t>Margem Líquida Desejada (%)</t>
        </is>
      </c>
      <c r="B8" s="8">
        <v>0.25</v>
      </c>
      <c r="C8" s="0" t="inlineStr">
        <is>
          <t>% de lucro</t>
        </is>
      </c>
    </row>
    <!-- Tabela de Ingredientes -->
    <row r="10" ht="24" customHeight="1">
      <c r="A10" s="2" t="inlineStr">
        <is>
          <t>INGREDIENTE / INSUMO</t>
        </is>
      </c>
      <c r="B10" s="2" t="inlineStr">
        <is>
          <t>QTD USADA</t>
        </is>
      </c>
      <c r="C10" s="2" t="inlineStr">
        <is>
          <t>UNIDADE</t>
        </is>
      </c>
      <c r="D10" s="2" t="inlineStr">
        <is>
          <t>CUSTO DA EMBALAGEM (R$)</t>
        </is>
      </c>
      <c r="E10" s="2" t="inlineStr">
        <is>
          <t>QTD DA EMBALAGEM</t>
        </is>
      </c>
      <c r="F10" s="2" t="inlineStr">
        <is>
          <t>CUSTO NA RECEITA (R$)</t>
        </is>
      </c>
    </row>
    <row r="11">
      <c r="A11" s="0" t="inlineStr">
        <is>
          <t>Leite Condensado</t>
        </is>
      </c>
      <c r="B11" s="9">
        <v>790</v>
      </c>
      <c r="C11" s="0" t="inlineStr">
        <is>
          <t>g</t>
        </is>
      </c>
      <c r="D11" s="4">
        <v>13.60</v>
      </c>
      <c r="E11" s="9">
        <v>790</v>
      </c>
      <c r="F11" s="4">
        <f>(B11/E11)*D11</f>
        <v>13.60</v>
      </c>
    </row>
    <row r="12">
      <c r="A12" s="0" t="inlineStr">
        <is>
          <t>Creme de Leite</t>
        </is>
      </c>
      <c r="B12" s="9">
        <v>400</v>
      </c>
      <c r="C12" s="0" t="inlineStr">
        <is>
          <t>g</t>
        </is>
      </c>
      <c r="D12" s="4">
        <v>5.80</v>
      </c>
      <c r="E12" s="9">
        <v>400</v>
      </c>
      <c r="F12" s="4">
        <f>(B12/E12)*D12</f>
        <v>5.80</v>
      </c>
    </row>
    <row r="13">
      <c r="A13" s="0" t="inlineStr">
        <is>
          <t>Manteiga</t>
        </is>
      </c>
      <c r="B13" s="9">
        <v>90</v>
      </c>
      <c r="C13" s="0" t="inlineStr">
        <is>
          <t>g</t>
        </is>
      </c>
      <c r="D13" s="4">
        <v>9.20</v>
      </c>
      <c r="E13" s="9">
        <v>200</v>
      </c>
      <c r="F13" s="4">
        <f>(B13/E13)*D13</f>
        <v>4.14</v>
      </c>
    </row>
    <row r="14">
      <c r="A14" s="0" t="inlineStr">
        <is>
          <t>Cacau em pó 100%</t>
        </is>
      </c>
      <c r="B14" s="9">
        <v>40</v>
      </c>
      <c r="C14" s="0" t="inlineStr">
        <is>
          <t>g</t>
        </is>
      </c>
      <c r="D14" s="4">
        <v>20.00</v>
      </c>
      <c r="E14" s="9">
        <v>200</v>
      </c>
      <c r="F14" s="4">
        <f>(B14/E14)*D14</f>
        <v>4.00</v>
      </c>
    </row>
    <row r="15">
      <c r="A15" s="0" t="inlineStr">
        <is>
          <t>Chocolate Blend Nobre</t>
        </is>
      </c>
      <c r="B15" s="9">
        <v>300</v>
      </c>
      <c r="C15" s="0" t="inlineStr">
        <is>
          <t>g</t>
        </is>
      </c>
      <c r="D15" s="4">
        <v>32.50</v>
      </c>
      <c r="E15" s="9">
        <v>1000</v>
      </c>
      <c r="F15" s="4">
        <f>(B15/E15)*D15</f>
        <v>9.75</v>
      </c>
    </row>
    <row r="16">
      <c r="A16" s="0" t="inlineStr">
        <is>
          <t>Forminhas simples</t>
        </is>
      </c>
      <c r="B16" s="9">
        <v>100</v>
      </c>
      <c r="C16" s="0" t="inlineStr">
        <is>
          <t>un</t>
        </is>
      </c>
      <c r="D16" s="4">
        <v>4.00</v>
      </c>
      <c r="E16" s="9">
        <v>100</v>
      </c>
      <c r="F16" s="4">
        <f>(B16/E16)*D16</f>
        <v>4.00</v>
      </c>
    </row>
    <row r="17">
      <c r="A17" s="0" t="inlineStr">
        <is>
          <t>Forminhas 4 pétalas</t>
        </is>
      </c>
      <c r="B17" s="9">
        <v>100</v>
      </c>
      <c r="C17" s="0" t="inlineStr">
        <is>
          <t>un</t>
        </is>
      </c>
      <c r="D17" s="4">
        <v>4.40</v>
      </c>
      <c r="E17" s="9">
        <v>100</v>
      </c>
      <c r="F17" s="4">
        <f>(B17/E17)*D17</f>
        <v>4.40</v>
      </c>
    </row>
    <row r="18">
      <c r="A18" s="0" t="inlineStr">
        <is>
          <t>Granulado Nobre Melken</t>
        </is>
      </c>
      <c r="B18" s="9">
        <v>400</v>
      </c>
      <c r="C18" s="0" t="inlineStr">
        <is>
          <t>g</t>
        </is>
      </c>
      <c r="D18" s="4">
        <v>45.00</v>
      </c>
      <c r="E18" s="9">
        <v>400</v>
      </c>
      <c r="F18" s="4">
        <f>(B18/E18)*D18</f>
        <v>45.00</v>
      </c>
    </row>
    <row r="19">
      <c r="A19" s="0" t="inlineStr">
        <is>
          <t>Caixa para 100 doces</t>
        </is>
      </c>
      <c r="B19" s="9">
        <v>1</v>
      </c>
      <c r="C19" s="0" t="inlineStr">
        <is>
          <t>un</t>
        </is>
      </c>
      <c r="D19" s="4">
        <v>11.00</v>
      </c>
      <c r="E19" s="9">
        <v>1</v>
      </c>
      <c r="F19" s="4">
        <f>(B19/E19)*D19</f>
        <v>11.00</v>
      </c>
    </row>
    <!-- Subtotais de Insumos -->
    <row r="21" ht="22" customHeight="1">
      <c r="A21" s="3" t="inlineStr">
        <is>
          <t>Subtotal Ingredientes (Custo Direto)</t>
        </is>
      </c>
      <c r="B21"/>
      <c r="C21"/>
      <c r="D21"/>
      <c r="E21"/>
      <c r="F21" s="5">
        <f>SUM(F11:F19)</f>
        <v>101.69</v>
      </c>
    </row>
    <row r="22" ht="22" customHeight="1">
      <c r="A22" s="3" t="inlineStr">
        <is>
          <t>Insumos c/ 3% Quebra Técnica</t>
        </is>
      </c>
      <c r="B22"/>
      <c r="C22"/>
      <c r="D22"/>
      <c r="E22"/>
      <c r="F22" s="6">
        <f>F21*(1+'Parametros de Custo'!B39)</f>
        <v>104.74</v>
      </c>
    </row>
    <!-- DEMONSTRATIVO DE PREÇO (DRE) -->
    <row r="25" ht="26" customHeight="1">
      <c r="A25" s="1" t="inlineStr">
        <is>
          <t>DEMONSTRATIVO DE PREÇO (DRE DA RECEITA)</t>
        </is>
      </c>
      <c r="B25" s="1"/>
      <c r="C25" s="1"/>
      <c r="D25" s="1"/>
      <c r="E25" s="1"/>
      <c r="F25" s="1"/>
    </row>
    <!-- Bloco 1 DRE -->
    <row r="26" ht="22" customHeight="1">
      <c r="A26" s="2" t="inlineStr">
        <is>
          <t>1. COMPOSIÇÃO DE CUSTO</t>
        </is>
      </c>
      <c r="B26" s="2" t="inlineStr">
        <is>
          <t>VALOR DO LOTE</t>
        </is>
      </c>
      <c r="C26" s="2" t="inlineStr">
        <is>
          <t>POR UNIDADE</t>
        </is>
      </c>
      <c r="D26" s="2" t="inlineStr">
        <is>
          <t>MEMÓRIA DE CÁLCULO</t>
        </is>
      </c>
      <c r="E26" s="2"/>
      <c r="F26" s="2"/>
    </row>
    <row r="27">
      <c r="A27" s="0" t="inlineStr">
        <is>
          <t>Insumos (c/ 3% quebra técnica)</t>
        </is>
      </c>
      <c r="B27" s="4">
        <f>F22</f>
        <v>104.74</v>
      </c>
      <c r="C27" s="4">
        <f>B27/B6</f>
        <v>1.05</v>
      </c>
      <c r="D27" s="0" t="inlineStr">
        <is>
          <t>Soma dos ingredientes com quebra</t>
        </is>
      </c>
    </row>
    <row r="28">
      <c r="A28" s="0" t="inlineStr">
        <is>
          <t>Mão de Obra Direta (30 min)</t>
        </is>
      </c>
      <c r="B28" s="4">
        <f>B5*'Parametros de Custo'!B32</f>
        <v>8.52</v>
      </c>
      <c r="C28" s="4">
        <f>B28/B6</f>
        <v>0.09</v>
      </c>
      <c r="D28" s="0" t="inlineStr">
        <is>
          <t>= Tempo de preparo * Custo minuto MOD</t>
        </is>
      </c>
    </row>
    <row r="29">
      <c r="A29" s="0" t="inlineStr">
        <is>
          <t>Custos Fixos / Estrutura</t>
        </is>
      </c>
      <c r="B29" s="4">
        <f>B5*'Parametros de Custo'!B34</f>
        <v>1.89</v>
      </c>
      <c r="C29" s="4">
        <f>B29/B6</f>
        <v>0.02</v>
      </c>
      <c r="D29" s="0" t="inlineStr">
        <is>
          <t>= Tempo de preparo * Custo minuto Fixo</t>
        </is>
      </c>
    </row>
    <row r="30">
      <c r="A30" s="0" t="inlineStr">
        <is>
          <t>Embalagem &amp; Adicionais</t>
        </is>
      </c>
      <c r="B30" s="4">
        <f>B7*B6</f>
        <v>0.00</v>
      </c>
      <c r="C30" s="4">
        <f>B7</f>
        <v>0.00</v>
      </c>
      <c r="D30" s="0" t="inlineStr">
        <is>
          <t>Custo de embalagem unitária</t>
        </is>
      </c>
    </row>
    <row r="31" ht="22" customHeight="1">
      <c r="A31" s="3" t="inlineStr">
        <is>
          <t>CUSTO UNITÁRIO TOTAL DE PRODUÇÃO</t>
        </is>
      </c>
      <c r="B31" s="6">
        <f>SUM(B27:B30)</f>
        <v>115.15</v>
      </c>
      <c r="C31" s="6">
        <f>SUM(C27:C30)</f>
        <v>1.15</v>
      </c>
      <c r="D31" s="3" t="inlineStr">
        <is>
          <t>Custo real de 1 unidade para sair pronta</t>
        </is>
      </c>
    </row>
    <!-- Bloco 2 DRE -->
    <row r="33" ht="22" customHeight="1">
      <c r="A33" s="2" t="inlineStr">
        <is>
          <t>2. PREÇO DE VENDA &amp; LUCRO</t>
        </is>
      </c>
      <c r="B33" s="2" t="inlineStr">
        <is>
          <t>VALOR</t>
        </is>
      </c>
      <c r="C33" s="2" t="inlineStr">
        <is>
          <t>PERCENTUAL</t>
        </is>
      </c>
      <c r="D33" s="2" t="inlineStr">
        <is>
          <t>FÓRMULA / REGRA</t>
        </is>
      </c>
      <c r="E33" s="2"/>
      <c r="F33" s="2"/>
    </row>
    <row r="34">
      <c r="A34" s="0" t="inlineStr">
        <is>
          <t>Markup Divisor</t>
        </is>
      </c>
      <c r="B34" s="8">
        <f>1-('Parametros de Custo'!B41+B8)</f>
        <v>0.675</v>
      </c>
      <c r="C34" s="0"/>
      <c r="D34" s="0" t="inlineStr">
        <is>
          <t>= 1 - (Taxas de Venda + Margem Desejada)</t>
        </is>
      </c>
    </row>
    <row r="35" ht="22" customHeight="1">
      <c r="A35" s="3" t="inlineStr">
        <is>
          <t>PREÇO SUGERIDO (CARDÁPIO)</t>
        </is>
      </c>
      <c r="B35" s="6">
        <f>C31/B34</f>
        <v>1.71</v>
      </c>
      <c r="C35" s="0" t="inlineStr">
        <is>
          <t>por unidade</t>
        </is>
      </c>
      <c r="D35" s="3" t="inlineStr">
        <is>
          <t>= Custo Unitário Total / Markup Divisor</t>
        </is>
      </c>
    </row>
    <row r="36" ht="22" customHeight="1">
      <c r="A36" s="3" t="inlineStr">
        <is>
          <t>LUCRO LÍQUIDO NO CAIXA</t>
        </is>
      </c>
      <c r="B36" s="10">
        <f>B35-C31-(B35*'Parametros de Custo'!B41)</f>
        <v>0.43</v>
      </c>
      <c r="C36" s="8">
        <f>B36/B35</f>
        <v>0.25</v>
      </c>
      <c r="D36" s="4" t="inlineStr">
        <is>
          <t>Dinheiro limpo no caixa da empresa por unidade</t>
        </is>
      </c>
    </row>
    <!-- Bloco 3 DRE -->
    <row r="38" ht="22" customHeight="1">
      <c r="A38" s="2" t="inlineStr">
        <is>
          <t>3. METAS &amp; DESEMPENHO ESTRATÉGICO</t>
        </is>
      </c>
      <c r="B38" s="2" t="inlineStr">
        <is>
          <t>VALOR</t>
        </is>
      </c>
      <c r="C38" s="2" t="inlineStr">
        <is>
          <t>PERCENTUAL</t>
        </is>
      </c>
      <c r="D38" s="2" t="inlineStr">
        <is>
          <t>IMPACTO ESTRATÉGICO</t>
        </is>
      </c>
      <c r="E38" s="2"/>
      <c r="F38" s="2"/>
    </row>
    <row r="39">
      <c r="A39" s="3" t="inlineStr">
        <is>
          <t>Margem de Contribuição Unitária</t>
        </is>
      </c>
      <c r="B39" s="5">
        <f>B35-(C27+C30)-(B35*'Parametros de Custo'!B41)</f>
        <v>0.53</v>
      </c>
      <c r="C39" s="8">
        <f>B39/B35</f>
        <v>0.31</v>
      </c>
      <c r="D39" s="0" t="inlineStr">
        <is>
          <t>= Preço - CMV - Taxas (o que sobra para pagar as despesas fixas)</t>
        </is>
      </c>
    </row>
    <row r="40">
      <c r="A40" s="3" t="inlineStr">
        <is>
          <t>Meta Ponto de Equilíbrio Mensal</t>
        </is>
      </c>
      <c r="B40" s="9">
        <f>CEILING(('Parametros de Custo'!B14+'Parametros de Custo'!B22)/B39, 1)</f>
        <v>6916</v>
      </c>
      <c r="C40" s="0" t="inlineStr">
        <is>
          <t>unidades / mês</t>
        </is>
      </c>
      <c r="D40" s="0" t="inlineStr">
        <is>
          <t>Quantidade necessária para quitar todas as despesas e salário</t>
        </is>
      </c>
    </row>
    <row r="41">
      <c r="A41" s="3" t="inlineStr">
        <is>
          <t>Meta Ponto de Equilíbrio Diária</t>
        </is>
      </c>
      <c r="B41" s="9">
        <f>CEILING(B40/'Parametros de Custo'!B25, 1)</f>
        <v>315</v>
      </c>
      <c r="C41" s="0" t="inlineStr">
        <is>
          <t>unidades / dia útil</t>
        </is>
      </c>
      <c r="D41" s="0" t="inlineStr">
        <is>
          <t>Meta diária de produção/vendas</t>
        </is>
      </c>
    </row>
  </sheetData>
</worksheet>
</file>

<file path=xl/worksheets/sheet3.xml><?xml version="1.0" encoding="utf-8"?>
<worksheet xmlns="http://schemas.openxmlformats.org/spreadsheetml/2006/main">
  <cols>
    <col min="1" max="1" width="38" customWidth="1"/>
    <col min="2" max="2" width="20" customWidth="1"/>
    <col min="3" max="3" width="45" customWidth="1"/>
  </cols>
  <sheetData>
    <row r="1" ht="32" customHeight="1">
      <c r="A1" s="1" t="inlineStr">
        <is>
          <t>PONTO DE EQUILÍBRIO &amp; METAS DE FATURAMENTO OPERACIONAL</t>
        </is>
      </c>
      <c r="B1" s="1"/>
      <c r="C1" s="1"/>
    </row>
    <row r="3" ht="24" customHeight="1">
      <c r="A3" s="2" t="inlineStr">
        <is>
          <t>ESTRUTURA GERAL DE GASTOS FIXOS</t>
        </is>
      </c>
      <c r="B3" s="2" t="inlineStr">
        <is>
          <t>VALOR MENSAL (R$)</t>
        </is>
      </c>
      <c r="C3" s="2" t="inlineStr">
        <is>
          <t>ORIGEM DOS DADOS</t>
        </is>
      </c>
    </row>
    <row r="4">
      <c r="A4" s="0" t="inlineStr">
        <is>
          <t>Total de Custos Fixos (Estrutura)</t>
        </is>
      </c>
      <c r="B4" s="4">
        <f>'Parametros de Custo'!B14</f>
        <v>665.00</v>
      </c>
      <c r="C4" s="0" t="inlineStr">
        <is>
          <t>Aluguel, Luz, Gás, Água, Internet, Contador...</t>
        </is>
      </c>
    </row>
    <row r="5">
      <c r="A5" s="0" t="inlineStr">
        <is>
          <t>Total de Mão de Obra (Pró-Labore + Equipe)</t>
        </is>
      </c>
      <c r="B5" s="4">
        <f>'Parametros de Custo'!B22</f>
        <v>3000.00</v>
      </c>
      <c r="C5" s="0" t="inlineStr">
        <is>
          <t>Salário do Confeiteiro + Ajudantes + Encargos</t>
        </is>
      </c>
    </row>
    <row r="6" ht="22" customHeight="1">
      <c r="A6" s="3" t="inlineStr">
        <is>
          <t>META DE COBERTURA MENSAL</t>
        </is>
      </c>
      <c r="B6" s="6">
        <f>B4+B5</f>
        <v>3665.00</v>
      </c>
      <c r="C6" s="3" t="inlineStr">
        <is>
          <t>Total necessário para zerar todas as contas da empresa</t>
        </is>
      </c>
    </row>
    <row r="8" ht="24" customHeight="1">
      <c r="A8" s="2" t="inlineStr">
        <is>
          <t>COMO FUNCIONA O PONTO DE EQUILÍBRIO?</t>
        </is>
      </c>
      <c r="B8" s="2"/>
      <c r="C8" s="2"/>
    </row>
    <row r="9">
      <c r="A9" s="0" t="inlineStr">
        <is>
          <t>1. Antes de atingir a meta:</t>
        </is>
      </c>
      <c r="B9" s="0" t="inlineStr">
        <is>
          <t>Pagar as contas</t>
        </is>
      </c>
      <c r="C9" s="0" t="inlineStr">
        <is>
          <t>Cada venda gera Margem de Contribuição para pagar os R$ 3.665 fixos.</t>
        </is>
      </c>
    </row>
    <row r="10">
      <c r="A10" s="0" t="inlineStr">
        <is>
          <t>2. Ao atingir a meta (100%):</t>
        </is>
      </c>
      <c r="B10" s="0" t="inlineStr">
        <is>
          <t>Ponto de Equilíbrio</t>
        </is>
      </c>
      <c r="C10" s="0" t="inlineStr">
        <is>
          <t>Todas as despesas da empresa e o seu salário estão 100% pagos!</t>
        </is>
      </c>
    </row>
    <row r="11">
      <c r="A11" s="0" t="inlineStr">
        <is>
          <t>3. Acima da meta (Vendas extras):</t>
        </is>
      </c>
      <c r="B11" s="0" t="inlineStr">
        <is>
          <t>Lucro &amp; Investimento</t>
        </is>
      </c>
      <c r="C11" s="0" t="inlineStr">
        <is>
          <t>Cada venda extra vira Lucro Líquido Real para reinvestir ou retirar lucros.</t>
        </is>
      </c>
    </row>
  </sheetData>
</worksheet>
</file>