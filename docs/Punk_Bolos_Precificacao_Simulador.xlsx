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Parametros de Custo" sheetId="1" r:id="rId1"/>
    <sheet name="Ficha Tecnica &amp; DRE Sebrae" sheetId="2" r:id="rId2"/>
    <sheet name="Ponto de Equilibrio &amp; Metas" sheetId="3" r:id="rId3"/>
  </sheets>
</workbook>
</file>

<file path=xl/styles.xml><?xml version="1.0" encoding="utf-8"?>
<styleSheet xmlns="http://schemas.openxmlformats.org/spreadsheetml/2006/main">
  <numFmts count="5">
    <numFmt numFmtId="164" formatCode="&quot;R$&quot; #,##0.00"/>
    <numFmt numFmtId="165" formatCode="&quot;R$&quot; #,##0.0000"/>
    <numFmt numFmtId="166" formatCode="0.0%"/>
    <numFmt numFmtId="167" formatCode="#,##0"/>
    <numFmt numFmtId="168" formatCode="- &quot;R$&quot; #,##0.00"/>
  </numFmts>
  <fonts count="8">
    <!-- 0: normal -->
    <font>
      <sz val="11"/>
      <name val="Calibri"/>
    </font>
    <!-- 1: bold -->
    <font>
      <b/>
      <sz val="11"/>
      <name val="Calibri"/>
    </font>
    <!-- 2: white bold 14pt (Header) -->
    <font>
      <b/>
      <sz val="14"/>
      <color rgb="FFFFFFFF"/>
      <name val="Calibri"/>
    </font>
    <!-- 3: blue bold 11pt (Subheader) -->
    <font>
      <b/>
      <sz val="11"/>
      <color rgb="FF1F497D"/>
      <name val="Calibri"/>
    </font>
    <!-- 4: green bold 12pt (Lucro / Excelente) -->
    <font>
      <b/>
      <sz val="12"/>
      <color rgb="FF006100"/>
      <name val="Calibri"/>
    </font>
    <!-- 5: italic gray 10pt (Notes) -->
    <font>
      <i/>
      <sz val="10"/>
      <color rgb="FF595959"/>
      <name val="Calibri"/>
    </font>
    <!-- 6: red bold 11pt (Deduções / Déficit) -->
    <font>
      <b/>
      <sz val="11"/>
      <color rgb="FF9C0006"/>
      <name val="Calibri"/>
    </font>
    <!-- 7: green bold 11pt -->
    <font>
      <b/>
      <sz val="11"/>
      <color rgb="FF006100"/>
      <name val="Calibri"/>
    </font>
  </fonts>
  <fills count="8">
    <fill>
      <patternFill patternType="none"/>
    </fill>
    <fill>
      <patternFill patternType="gray125"/>
    </fill>
    <!-- 2: Dark Blue -->
    <fill>
      <patternFill patternType="solid">
        <fgColor rgb="FF1F497D"/>
      </patternFill>
    </fill>
    <!-- 3: Soft Blue -->
    <fill>
      <patternFill patternType="solid">
        <fgColor rgb="FFDCE6F1"/>
      </patternFill>
    </fill>
    <!-- 4: Soft Green -->
    <fill>
      <patternFill patternType="solid">
        <fgColor rgb="FFC6EFCE"/>
      </patternFill>
    </fill>
    <!-- 5: Soft Gray -->
    <fill>
      <patternFill patternType="solid">
        <fgColor rgb="FFF2F2F2"/>
      </patternFill>
    </fill>
    <!-- 6: Soft Red / Pink -->
    <fill>
      <patternFill patternType="solid">
        <fgColor rgb="FFFFC7CE"/>
      </patternFill>
    </fill>
    <!-- 7: Soft Yellow -->
    <fill>
      <patternFill patternType="solid">
        <fgColor rgb="FFFFEB9C"/>
      </patternFill>
    </fill>
  </fills>
  <borders count="4">
    <border>
      <left/>
      <right/>
      <top/>
      <bottom/>
    </border>
    <!-- 1: thin gray --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!-- 2: double bottom blue -->
    <border>
      <left style="thin">
        <color rgb="FF1F497D"/>
      </left>
      <right style="thin">
        <color rgb="FF1F497D"/>
      </right>
      <top style="thin">
        <color rgb="FF1F497D"/>
      </top>
      <bottom style="double">
        <color rgb="FF1F497D"/>
      </bottom>
    </border>
    <!-- 3: double bottom green -->
    <border>
      <left style="thin">
        <color rgb="FF006100"/>
      </left>
      <right style="thin">
        <color rgb="FF006100"/>
      </right>
      <top style="thin">
        <color rgb="FF006100"/>
      </top>
      <bottom style="double">
        <color rgb="FF006100"/>
      </bottom>
    </border>
  </borders>
  <cellStyleXfs count="1">
    <xf numFmtId="0" fontId="0" fillId="0" borderId="0"/>
  </cellStyleXfs>
  <cellXfs count="18">
    <!-- 0: normal -->
    <xf numFmtId="0" fontId="0" fillId="0" borderId="1" xfId="0" applyBorder="1"/>
    <!-- 1: title header (Dark Blue Background, White Bold Text) -->
    <xf numFmtId="0" fontId="2" fillId="2" borderId="0" xfId="0" applyFont="1" applyFill="1" applyAlignment="1">
      <alignment horizontal="center" vertical="center"/>
    </xf>
    <!-- 2: section subheader (Soft Blue, Bold Text) -->
    <xf numFmtId="0" fontId="3" fillId="3" borderId="1" xfId="0" applyFont="1" applyFill="1" applyBorder="1"/>
    <!-- 3: label bold -->
    <xf numFmtId="0" fontId="1" fillId="0" borderId="1" xfId="0" applyFont="1" applyBorder="1"/>
    <!-- 4: currency (R$ 0.00) -->
    <xf numFmtId="164" fontId="0" fillId="0" borderId="1" xfId="0" applyNumberFormat="1" applyBorder="1"/>
    <!-- 5: currency bold -->
    <xf numFmtId="164" fontId="1" fillId="0" borderId="1" xfId="0" applyNumberFormat="1" applyFont="1" applyBorder="1"/>
    <!-- 6: currency total highlighted (soft blue) -->
    <xf numFmtId="164" fontId="1" fillId="3" borderId="2" xfId="0" applyNumberFormat="1" applyFont="1" applyFill="1" applyBorder="1"/>
    <!-- 7: currency precise (4 decimals) -->
    <xf numFmtId="165" fontId="1" fillId="5" borderId="1" xfId="0" applyNumberFormat="1" applyFont="1" applyFill="1" applyBorder="1"/>
    <!-- 8: percentage -->
    <xf numFmtId="166" fontId="0" fillId="0" borderId="1" xfId="0" applyNumberFormat="1" applyBorder="1"/>
    <!-- 9: integer count -->
    <xf numFmtId="167" fontId="0" fillId="0" borderId="1" xfId="0" applyNumberFormat="1" applyBorder="1"/>
    <!-- 10: green highlight success (Lucro) -->
    <xf numFmtId="164" fontId="4" fillId="4" borderId="3" xfId="0" applyNumberFormat="1" applyFont="1" applyFill="1" applyBorder="1"/>
    <!-- 11: note italic -->
    <xf numFmtId="0" fontId="5" fillId="0" borderId="0" xfId="0" applyFont="1"/>
    <!-- 12: negative currency red (Deduções) -->
    <xf numFmtId="164" fontId="6" fillId="0" borderId="1" xfId="0" applyNumberFormat="1" applyFont="1" applyBorder="1"/>
    <!-- 13: green text bold (Excelente / MC) -->
    <xf numFmtId="0" fontId="7" fillId="4" borderId="1" xfId="0" applyFont="1" applyFill="1" applyBorder="1"/>
    <!-- 14: percentage bold -->
    <xf numFmtId="166" fontId="1" fillId="0" borderId="1" xfId="0" applyNumberFormat="1" applyFont="1" applyBorder="1"/>
    <!-- 15: green percentage bold (Lucro) -->
    <xf numFmtId="166" fontId="4" fillId="4" borderId="3" xfId="0" applyNumberFormat="1" applyFont="1" applyFill="1" applyBorder="1"/>
    <!-- 16: red highlight deficit -->
    <xf numFmtId="164" fontId="6" fillId="6" borderId="1" xfId="0" applyNumberFormat="1" applyFont="1" applyFill="1" applyBorder="1"/>
    <!-- 17: green currency bold -->
    <xf numFmtId="164" fontId="4" fillId="0" borderId="1" xfId="0" applyNumberFormat="1" applyFont="1" applyBorder="1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36" customWidth="1"/>
    <col min="2" max="2" width="16" customWidth="1"/>
    <col min="3" max="3" width="14" customWidth="1"/>
    <col min="4" max="4" width="65" customWidth="1"/>
  </cols>
  <sheetData>
    <row r="1" ht="32" customHeight="1">
      <c r="A1" s="1" t="inlineStr">
        <is>
          <t>PUNK BOLOS — PARÂMETROS GLOBAIS DE CUSTOS (SENAC / SEBRAE)</t>
        </is>
      </c>
      <c r="B1" s="1"/>
      <c r="C1" s="1"/>
      <c r="D1" s="1"/>
    </row>
    <row r="2">
      <c r="A2" s="11" t="inlineStr">
        <is>
          <t>Preencha os valores na Coluna B. As taxas horárias e custos por minuto são calculados automaticamente para calibrar as receitas.</t>
        </is>
      </c>
    </row>
    <!-- Bloco 1 -->
    <row r="4" ht="24" customHeight="1">
      <c r="A4" s="2" t="inlineStr">
        <is>
          <t>1. CUSTOS FIXOS MENSAIS (ESTRUTURA DA CONFEITARIA)</t>
        </is>
      </c>
      <c r="B4" s="2" t="inlineStr">
        <is>
          <t>VALOR</t>
        </is>
      </c>
      <c r="C4" s="2" t="inlineStr">
        <is>
          <t>UNIDADE</t>
        </is>
      </c>
      <c r="D4" s="2" t="inlineStr">
        <is>
          <t>EXPLICAÇÃO DETALHADA &amp; GUIA PRÁTICO SEBRAE</t>
        </is>
      </c>
    </row>
    <row r="5">
      <c r="A5" s="0" t="inlineStr">
        <is>
          <t>Aluguel do Espaço</t>
        </is>
      </c>
      <c r="B5" s="4">
        <v>0.00</v>
      </c>
      <c r="C5" s="0" t="inlineStr">
        <is>
          <t>R$ / mês</t>
        </is>
      </c>
      <c r="D5" s="0" t="inlineStr">
        <is>
          <t>Custo fixo do ponto comercial. Se trabalhar em residência própria, mantenha 0,00.</t>
        </is>
      </c>
    </row>
    <row r="6">
      <c r="A6" s="0" t="inlineStr">
        <is>
          <t>Energia Elétrica</t>
        </is>
      </c>
      <c r="B6" s="4">
        <v>160.00</v>
      </c>
      <c r="C6" s="0" t="inlineStr">
        <is>
          <t>R$ / mês</t>
        </is>
      </c>
      <c r="D6" s="0" t="inlineStr">
        <is>
          <t>Média mensal consumida por fornos elétricos, geladeiras, batedeiras e freezers.</t>
        </is>
      </c>
    </row>
    <row r="7">
      <c r="A7" s="0" t="inlineStr">
        <is>
          <t>Gás GLP / Forno</t>
        </is>
      </c>
      <c r="B7" s="4">
        <v>130.00</v>
      </c>
      <c r="C7" s="0" t="inlineStr">
        <is>
          <t>R$ / mês</t>
        </is>
      </c>
      <c r="D7" s="0" t="inlineStr">
        <is>
          <t>Consumo médio mensal com botijão (P13 ou P45) ou gás encanado para massas e recheios.</t>
        </is>
      </c>
    </row>
    <row r="8">
      <c r="A8" s="0" t="inlineStr">
        <is>
          <t>Água e Saneamento</t>
        </is>
      </c>
      <c r="B8" s="4">
        <v>70.00</v>
      </c>
      <c r="C8" s="0" t="inlineStr">
        <is>
          <t>R$ / mês</t>
        </is>
      </c>
      <c r="D8" s="0" t="inlineStr">
        <is>
          <t>Higienização constante de bancadas, formas, louças, panelas e bicos de confeitar.</t>
        </is>
      </c>
    </row>
    <row r="9">
      <c r="A9" s="0" t="inlineStr">
        <is>
          <t>Internet e Sistemas</t>
        </is>
      </c>
      <c r="B9" s="4">
        <v>90.00</v>
      </c>
      <c r="C9" s="0" t="inlineStr">
        <is>
          <t>R$ / mês</t>
        </is>
      </c>
      <c r="D9" s="0" t="inlineStr">
        <is>
          <t>Mensalidade da conexão, sistema de gestão Punk Bolos, cardápio digital e WhatsApp.</t>
        </is>
      </c>
    </row>
    <row r="10">
      <c r="A10" s="0" t="inlineStr">
        <is>
          <t>Manutenção / Depreciação</t>
        </is>
      </c>
      <c r="B10" s="4">
        <v>80.00</v>
      </c>
      <c r="C10" s="0" t="inlineStr">
        <is>
          <t>R$ / mês</t>
        </is>
      </c>
      <c r="D10" s="0" t="inlineStr">
        <is>
          <t>Reserva técnica mensal para conserto ou substituição futura de batedeiras, fornos e facas.</t>
        </is>
      </c>
    </row>
    <row r="11">
      <c r="A11" s="0" t="inlineStr">
        <is>
          <t>Contador ou DAS-MEI</t>
        </is>
      </c>
      <c r="B11" s="4">
        <v>75.00</v>
      </c>
      <c r="C11" s="0" t="inlineStr">
        <is>
          <t>R$ / mês</t>
        </is>
      </c>
      <c r="D11" s="0" t="inlineStr">
        <is>
          <t>Guia DAS mensal obrigatória do MEI ou honorários de contabilidade do Simples Nacional.</t>
        </is>
      </c>
    </row>
    <row r="12">
      <c r="A12" s="0" t="inlineStr">
        <is>
          <t>Produtos de Limpeza</t>
        </is>
      </c>
      <c r="B12" s="4">
        <v>60.00</v>
      </c>
      <c r="C12" s="0" t="inlineStr">
        <is>
          <t>R$ / mês</t>
        </is>
      </c>
      <c r="D12" s="0" t="inlineStr">
        <is>
          <t>Álcool 70%, detergentes desengordurantes, papel toalha descartável, toucas e luvas.</t>
        </is>
      </c>
    </row>
    <row r="13">
      <c r="A13" s="0" t="inlineStr">
        <is>
          <t>Outros Custos Fixos</t>
        </is>
      </c>
      <c r="B13" s="4">
        <v>0.00</v>
      </c>
      <c r="C13" s="0" t="inlineStr">
        <is>
          <t>R$ / mês</t>
        </is>
      </c>
      <c r="D13" s="0" t="inlineStr">
        <is>
          <t>Espaço para pequenas despesas fixas recorrentes não categorizadas.</t>
        </is>
      </c>
    </row>
    <row r="14" ht="22" customHeight="1">
      <c r="A14" s="3" t="inlineStr">
        <is>
          <t>TOTAL DE CUSTOS FIXOS MENSAIS</t>
        </is>
      </c>
      <c r="B14" s="6">
        <f>SUM(B5:B13)</f>
        <v>665.00</v>
      </c>
      <c r="C14" s="3" t="inlineStr">
        <is>
          <t>R$ / mês</t>
        </is>
      </c>
      <c r="D14" s="3" t="inlineStr">
        <is>
          <t>Soma automática de todas as despesas que existem todo mês antes de vender qualquer doce.</t>
        </is>
      </c>
    </row>
    <!-- Bloco 2 -->
    <row r="16" ht="24" customHeight="1">
      <c r="A16" s="2" t="inlineStr">
        <is>
          <t>2. MÃO DE OBRA DIRETA (MOD) &amp; EQUIPE</t>
        </is>
      </c>
      <c r="B16" s="2" t="inlineStr">
        <is>
          <t>VALOR</t>
        </is>
      </c>
      <c r="C16" s="2" t="inlineStr">
        <is>
          <t>UNIDADE</t>
        </is>
      </c>
      <c r="D16" s="2" t="inlineStr">
        <is>
          <t>DETALHAMENTO &amp; ENCARGOS</t>
        </is>
      </c>
    </row>
    <row r="17">
      <c r="A17" s="0" t="inlineStr">
        <is>
          <t>Pró-Labore do Confeiteiro</t>
        </is>
      </c>
      <c r="B17" s="4">
        <v>3000.00</v>
      </c>
      <c r="C17" s="0" t="inlineStr">
        <is>
          <t>R$ / mês</t>
        </is>
      </c>
      <c r="D17" s="0" t="inlineStr">
        <is>
          <t>Salário fixo mensal pretendido pelo confeiteiro/proprietário pelo seu trabalho ativo.</t>
        </is>
      </c>
    </row>
    <row r="18">
      <c r="A18" s="0" t="inlineStr">
        <is>
          <t>Salário de Ajudantes (Equipe)</t>
        </is>
      </c>
      <c r="B18" s="4">
        <v>0.00</v>
      </c>
      <c r="C18" s="0" t="inlineStr">
        <is>
          <t>R$ / mês</t>
        </is>
      </c>
      <c r="D18" s="0" t="inlineStr">
        <is>
          <t>Salário base bruto de auxiliares de cozinha (deixe 0 se trabalhar sozinho).</t>
        </is>
      </c>
    </row>
    <row r="19">
      <c r="A19" s="0" t="inlineStr">
        <is>
          <t>Encargos Sociais CLT (%)</t>
        </is>
      </c>
      <c r="B19" s="8">
        <v>0.3424</v>
      </c>
      <c r="C19" s="0" t="inlineStr">
        <is>
          <t>%</t>
        </is>
      </c>
      <c r="D19" s="0" t="inlineStr">
        <is>
          <t>Provisão técnica: 13º (8,33%) + Férias (11,11%) + FGTS (8%) + Multa (3,2%) + outros (3,6%).</t>
        </is>
      </c>
    </row>
    <row r="20">
      <c r="A20" s="0" t="inlineStr">
        <is>
          <t>Provisão de Encargos Trabalhistas (R$)</t>
        </is>
      </c>
      <c r="B20" s="4">
        <f>IF(B18&gt;0, B18*B19, 0)</f>
        <v>0.00</v>
      </c>
      <c r="C20" s="0" t="inlineStr">
        <is>
          <t>R$ / mês</t>
        </is>
      </c>
      <c r="D20" s="0" t="inlineStr">
        <is>
          <t>Valor em reais provisionado para não ter surpresas em férias, 13º e rescisões.</t>
        </is>
      </c>
    </row>
    <row r="21">
      <c r="A21" s="0" t="inlineStr">
        <is>
          <t>Benefícios Mensais (VT/VR/Cesta)</t>
        </is>
      </c>
      <c r="B21" s="4">
        <v>0.00</v>
      </c>
      <c r="C21" s="0" t="inlineStr">
        <is>
          <t>R$ / mês</t>
        </is>
      </c>
      <c r="D21" s="0" t="inlineStr">
        <is>
          <t>Ajuda de custo com transporte ou alimentação paga aos funcionários.</t>
        </is>
      </c>
    </row>
    <row r="22" ht="22" customHeight="1">
      <c r="A22" s="3" t="inlineStr">
        <is>
          <t>TOTAL MÃO DE OBRA MENSAL</t>
        </is>
      </c>
      <c r="B22" s="6">
        <f>B17+B18+B20+B21</f>
        <v>3000.00</v>
      </c>
      <c r="C22" s="3" t="inlineStr">
        <is>
          <t>R$ / mês</t>
        </is>
      </c>
      <c r="D22" s="3" t="inlineStr">
        <is>
          <t>Custo total mensal investido na remuneração da equipe e do confeiteiro.</t>
        </is>
      </c>
    </row>
    <!-- Bloco 3 -->
    <row r="24" ht="24" customHeight="1">
      <c r="A24" s="2" t="inlineStr">
        <is>
          <t>3. JORNADA DE TRABALHO &amp; CAPACIDADE PRODUTIVA</t>
        </is>
      </c>
      <c r="B24" s="2" t="inlineStr">
        <is>
          <t>VALOR</t>
        </is>
      </c>
      <c r="C24" s="2" t="inlineStr">
        <is>
          <t>UNIDADE</t>
        </is>
      </c>
      <c r="D24" s="2" t="inlineStr">
        <is>
          <t>IMPACTO NA PRODUÇÃO</t>
        </is>
      </c>
    </row>
    <row r="25">
      <c r="A25" s="0" t="inlineStr">
        <is>
          <t>Dias Trabalhados no Mês</t>
        </is>
      </c>
      <c r="B25" s="9">
        <v>22</v>
      </c>
      <c r="C25" s="0" t="inlineStr">
        <is>
          <t>dias</t>
        </is>
      </c>
      <c r="D25" s="0" t="inlineStr">
        <is>
          <t>Dias úteis de produção ativa no mês (ex.: 22 dias para Seg-Sex; 26 para Seg-Sáb).</t>
        </is>
      </c>
    </row>
    <row r="26">
      <c r="A26" s="0" t="inlineStr">
        <is>
          <t>Horas Trabalhadas por Dia</t>
        </is>
      </c>
      <c r="B26" s="9">
        <v>8</v>
      </c>
      <c r="C26" s="0" t="inlineStr">
        <is>
          <t>horas</t>
        </is>
      </c>
      <c r="D26" s="0" t="inlineStr">
        <is>
          <t>Jornada diária dedicada à produção e finalização na cozinha.</t>
        </is>
      </c>
    </row>
    <row r="27">
      <c r="A27" s="3" t="inlineStr">
        <is>
          <t>Horas Produtivas no Mês</t>
        </is>
      </c>
      <c r="B27" s="9">
        <f>B25*B26</f>
        <v>176</v>
      </c>
      <c r="C27" s="0" t="inlineStr">
        <is>
          <t>horas</t>
        </is>
      </c>
      <c r="D27" s="0" t="inlineStr">
        <is>
          <t>Capacidade mensal de produção em horas (= Dias Trabalhados * Horas/dia).</t>
        </is>
      </c>
    </row>
    <row r="28">
      <c r="A28" s="3" t="inlineStr">
        <is>
          <t>Minutos Produtivos no Mês</t>
        </is>
      </c>
      <c r="B28" s="9">
        <f>B27*60</f>
        <v>10560</v>
      </c>
      <c r="C28" s="0" t="inlineStr">
        <is>
          <t>minutos</t>
        </is>
      </c>
      <c r="D28" s="0" t="inlineStr">
        <is>
          <t>Capacidade mensal de produção em minutos (= Horas Mensais * 60).</t>
        </is>
      </c>
    </row>
    <!-- Taxas Calculadas -->
    <row r="30" ht="24" customHeight="1">
      <c r="A30" s="2" t="inlineStr">
        <is>
          <t>TAXAS HORÁRIAS &amp; POR MINUTO CALCULADAS</t>
        </is>
      </c>
      <c r="B30" s="2" t="inlineStr">
        <is>
          <t>TAXA</t>
        </is>
      </c>
      <c r="C30" s="2" t="inlineStr">
        <is>
          <t>UNIDADE</t>
        </is>
      </c>
      <c r="D30" s="2" t="inlineStr">
        <is>
          <t>APLICAÇÃO PRÁTICA NAS RECEITAS</t>
        </is>
      </c>
    </row>
    <row r="31">
      <c r="A31" s="0" t="inlineStr">
        <is>
          <t>Custo Hora Mão de Obra (MOD)</t>
        </is>
      </c>
      <c r="B31" s="5">
        <f>IF(B27&gt;0, B22/B27, 0)</f>
        <v>17.05</v>
      </c>
      <c r="C31" s="0" t="inlineStr">
        <is>
          <t>R$ / hora</t>
        </is>
      </c>
      <c r="D31" s="0" t="inlineStr">
        <is>
          <t>Valor de 1 hora de trabalho do confeiteiro/equipe na cozinha.</t>
        </is>
      </c>
    </row>
    <row r="32">
      <c r="A32" s="0" t="inlineStr">
        <is>
          <t>Custo Minuto Mão de Obra (MOD)</t>
        </is>
      </c>
      <c r="B32" s="7">
        <f>IF(B28&gt;0, B22/B28, 0)</f>
        <v>0.2841</v>
      </c>
      <c r="C32" s="0" t="inlineStr">
        <is>
          <t>R$ / min</t>
        </is>
      </c>
      <c r="D32" s="0" t="inlineStr">
        <is>
          <t>Custo por minuto da mão de obra (= Total MOD / Minutos Mensais).</t>
        </is>
      </c>
    </row>
    <row r="33">
      <c r="A33" s="0" t="inlineStr">
        <is>
          <t>Custo Hora Fixo (Estrutura)</t>
        </is>
      </c>
      <c r="B33" s="5">
        <f>IF(B27&gt;0, B14/B27, 0)</f>
        <v>3.78</v>
      </c>
      <c r="C33" s="0" t="inlineStr">
        <is>
          <t>R$ / hora</t>
        </is>
      </c>
      <c r="D33" s="0" t="inlineStr">
        <is>
          <t>Custo de 1 hora de luz, gás e aluguel com a cozinha em funcionamento.</t>
        </is>
      </c>
    </row>
    <row r="34">
      <c r="A34" s="0" t="inlineStr">
        <is>
          <t>Custo Minuto Fixo (Estrutura)</t>
        </is>
      </c>
      <c r="B34" s="7">
        <f>IF(B28&gt;0, B14/B28, 0)</f>
        <v>0.0630</v>
      </c>
      <c r="C34" s="0" t="inlineStr">
        <is>
          <t>R$ / min</t>
        </is>
      </c>
      <c r="D34" s="0" t="inlineStr">
        <is>
          <t>Parcela do minuto de contas fixas absorvida por cada minuto de preparo.</t>
        </is>
      </c>
    </row>
    <!-- Bloco 4 -->
    <row r="36" ht="24" customHeight="1">
      <c r="A36" s="2" t="inlineStr">
        <is>
          <t>4. TAXAS DE VENDA, SEGURANÇA &amp; LUCRO</t>
        </is>
      </c>
      <c r="B36" s="2" t="inlineStr">
        <is>
          <t>ALÍQUOTA</t>
        </is>
      </c>
      <c r="C36" s="2" t="inlineStr">
        <is>
          <t>UNIDADE</t>
        </is>
      </c>
      <c r="D36" s="2" t="inlineStr">
        <is>
          <t>FINALIDADE &amp; REGRAS SEBRAE</t>
        </is>
      </c>
    </row>
    <row r="37">
      <c r="A37" s="0" t="inlineStr">
        <is>
          <t>Imposto sobre a Venda (%)</t>
        </is>
      </c>
      <c r="B37" s="8">
        <v>0.04</v>
      </c>
      <c r="C37" s="0" t="inlineStr">
        <is>
          <t>%</t>
        </is>
      </c>
      <c r="D37" s="0" t="inlineStr">
        <is>
          <t>Alíquota do Simples Nacional sobre a nota emitida (ou 0% para MEI isento).</t>
        </is>
      </c>
    </row>
    <row r="38">
      <c r="A38" s="0" t="inlineStr">
        <is>
          <t>Taxa Média Maquininha (%)</t>
        </is>
      </c>
      <c r="B38" s="8">
        <v>0.035</v>
      </c>
      <c r="C38" s="0" t="inlineStr">
        <is>
          <t>%</t>
        </is>
      </c>
      <c r="D38" s="0" t="inlineStr">
        <is>
          <t>Média ponderada cobrada pelas operadoras de cartão de crédito, débito e PIX.</t>
        </is>
      </c>
    </row>
    <row r="39">
      <c r="A39" s="0" t="inlineStr">
        <is>
          <t>Quebra Técnica de Insumos (%)</t>
        </is>
      </c>
      <c r="B39" s="8">
        <v>0.03</v>
      </c>
      <c r="C39" s="0" t="inlineStr">
        <is>
          <t>%</t>
        </is>
      </c>
      <c r="D39" s="0" t="inlineStr">
        <is>
          <t>Margem de segurança de 3% para perdas (raspagem na tigela, queima e evaporação).</t>
        </is>
      </c>
    </row>
    <row r="40">
      <c r="A40" s="0" t="inlineStr">
        <is>
          <t>Margem Líquida Padrão (%)</t>
        </is>
      </c>
      <c r="B40" s="8">
        <v>0.25</v>
      </c>
      <c r="C40" s="0" t="inlineStr">
        <is>
          <t>%</t>
        </is>
      </c>
      <c r="D40" s="0" t="inlineStr">
        <is>
          <t>Margem de lucro limpo padrão desejada no caixa da empresa (25%).</t>
        </is>
      </c>
    </row>
    <row r="41" ht="22" customHeight="1">
      <c r="A41" s="3" t="inlineStr">
        <is>
          <t>TOTAL DEDUÇÕES SOBRE A VENDA (%)</t>
        </is>
      </c>
      <c r="B41" s="14">
        <f>B37+B38</f>
        <v>0.075</v>
      </c>
      <c r="C41" s="3" t="inlineStr">
        <is>
          <t>%</t>
        </is>
      </c>
      <c r="D41" s="3" t="inlineStr">
        <is>
          <t>Retenção imediata na fonte sobre o preço bruto de cada venda (7,5%).</t>
        </is>
      </c>
    </row>
  </sheetData>
</worksheet>
</file>

<file path=xl/worksheets/sheet2.xml><?xml version="1.0" encoding="utf-8"?>
<worksheet xmlns="http://schemas.openxmlformats.org/spreadsheetml/2006/main">
  <cols>
    <col min="1" max="1" width="34" customWidth="1"/>
    <col min="2" max="2" width="16" customWidth="1"/>
    <col min="3" max="3" width="14" customWidth="1"/>
    <col min="4" max="4" width="18" customWidth="1"/>
    <col min="5" max="5" width="16" customWidth="1"/>
    <col min="6" max="6" width="18" customWidth="1"/>
    <col min="7" max="7" width="58" customWidth="1"/>
  </cols>
  <sheetData>
    <row r="1" ht="32" customHeight="1">
      <c r="A1" s="1" t="inlineStr">
        <is>
          <t>FICHA TÉCNICA &amp; SIMULADOR DE PREÇO (SENAC / SEBRAE)</t>
        </is>
      </c>
      <c r="B1" s="1"/>
      <c r="C1" s="1"/>
      <c r="D1" s="1"/>
      <c r="E1" s="1"/>
      <c r="F1" s="1"/>
      <c r="G1" s="1"/>
    </row>
    <!-- Parametros da Ficha -->
    <row r="3" ht="24" customHeight="1">
      <c r="A3" s="2" t="inlineStr">
        <is>
          <t>PARÂMETROS DA FICHA TÉCNICA</t>
        </is>
      </c>
      <c r="B3" s="2" t="inlineStr">
        <is>
          <t>VALOR INFORMADO</t>
        </is>
      </c>
      <c r="C3" s="2" t="inlineStr">
        <is>
          <t>UNIDADE</t>
        </is>
      </c>
      <c r="D3" s="2"/>
      <c r="E3" s="2"/>
      <c r="F3" s="2"/>
      <c r="G3" s="2" t="inlineStr">
        <is>
          <t>INSTRUÇÃO DE PREENCHIMENTO</t>
        </is>
      </c>
    </row>
    <row r="4">
      <c r="A4" s="3" t="inlineStr">
        <is>
          <t>Nome do Produto</t>
        </is>
      </c>
      <c r="B4" s="0" t="inlineStr">
        <is>
          <t>Bolo Artesanal (Fatia)</t>
        </is>
      </c>
      <c r="C4" s="0"/>
      <c r="D4" s="0"/>
      <c r="E4" s="0"/>
      <c r="F4" s="0"/>
      <c r="G4" s="0" t="inlineStr">
        <is>
          <t>Identificação do item no cardápio</t>
        </is>
      </c>
    </row>
    <row r="5">
      <c r="A5" s="3" t="inlineStr">
        <is>
          <t>Tempo de Preparo (Mão de Obra)</t>
        </is>
      </c>
      <c r="B5" s="9">
        <v>30</v>
      </c>
      <c r="C5" s="0" t="inlineStr">
        <is>
          <t>minutos</t>
        </is>
      </c>
      <c r="D5" s="0"/>
      <c r="E5" s="0"/>
      <c r="F5" s="0"/>
      <c r="G5" s="0" t="inlineStr">
        <is>
          <t>Tempo de trabalho ativo dedicado pelo confeiteiro para fazer a receita</t>
        </is>
      </c>
    </row>
    <row r="6">
      <c r="A6" s="3" t="inlineStr">
        <is>
          <t>Rendimento da Receita (Lote)</t>
        </is>
      </c>
      <c r="B6" s="9">
        <v>11</v>
      </c>
      <c r="C6" s="0" t="inlineStr">
        <is>
          <t>fatias</t>
        </is>
      </c>
      <c r="D6" s="0"/>
      <c r="E6" s="0"/>
      <c r="F6" s="0"/>
      <c r="G6" s="0" t="inlineStr">
        <is>
          <t>Quantidade de fatias obtidas a partir de um bolo inteiro pronto</t>
        </is>
      </c>
    </row>
    <row r="7">
      <c r="A7" s="3" t="inlineStr">
        <is>
          <t>Embalagem &amp; Adicionais (por un)</t>
        </is>
      </c>
      <c r="B7" s="4">
        <v>0.00</v>
      </c>
      <c r="C7" s="0" t="inlineStr">
        <is>
          <t>R$ / un</t>
        </is>
      </c>
      <c r="D7" s="0"/>
      <c r="E7" s="0"/>
      <c r="F7" s="0"/>
      <c r="G7" s="0" t="inlineStr">
        <is>
          <t>Custo de embalagem unitária, berço ou fita (se houver)</t>
        </is>
      </c>
    </row>
    <row r="8">
      <c r="A8" s="3" t="inlineStr">
        <is>
          <t>Margem Líquida Desejada (%)</t>
        </is>
      </c>
      <c r="B8" s="14">
        <v>0.60</v>
      </c>
      <c r="C8" s="0" t="inlineStr">
        <is>
          <t>% de lucro</t>
        </is>
      </c>
      <c r="D8" s="0"/>
      <c r="E8" s="0"/>
      <c r="F8" s="0"/>
      <c r="G8" s="0" t="inlineStr">
        <is>
          <t>Margem líquida desejada (ajustada para 60% para precificar a fatia em R$ 22,80)</t>
        </is>
      </c>
    </row>
    <!-- Tabela de Ingredientes -->
    <row r="10" ht="24" customHeight="1">
      <c r="A10" s="2" t="inlineStr">
        <is>
          <t>INGREDIENTE / INSUMO</t>
        </is>
      </c>
      <c r="B10" s="2" t="inlineStr">
        <is>
          <t>QTD USADA</t>
        </is>
      </c>
      <c r="C10" s="2" t="inlineStr">
        <is>
          <t>UNIDADE</t>
        </is>
      </c>
      <c r="D10" s="2" t="inlineStr">
        <is>
          <t>CUSTO EMBALAGEM</t>
        </is>
      </c>
      <c r="E10" s="2" t="inlineStr">
        <is>
          <t>QTD EMBALAGEM</t>
        </is>
      </c>
      <c r="F10" s="2" t="inlineStr">
        <is>
          <t>CUSTO NA RECEITA</t>
        </is>
      </c>
      <c r="G10" s="2" t="inlineStr">
        <is>
          <t>FÓRMULA AUTOMÁTICA</t>
        </is>
      </c>
    </row>
    <row r="11">
      <c r="A11" s="0" t="inlineStr">
        <is>
          <t>Farinha de Trigo Especial</t>
        </is>
      </c>
      <c r="B11" s="9">
        <v>400</v>
      </c>
      <c r="C11" s="0" t="inlineStr">
        <is>
          <t>g</t>
        </is>
      </c>
      <c r="D11" s="4">
        <v>5.50</v>
      </c>
      <c r="E11" s="9">
        <v>1000</v>
      </c>
      <c r="F11" s="4">
        <f>(B11/E11)*D11</f>
        <v>2.20</v>
      </c>
      <c r="G11" s="0" t="inlineStr">
        <is>
          <t>=(Qtd Usada / Qtd Embalagem) * Custo</t>
        </is>
      </c>
    </row>
    <row r="12">
      <c r="A12" s="0" t="inlineStr">
        <is>
          <t>Açúcar Refinado</t>
        </is>
      </c>
      <c r="B12" s="9">
        <v>350</v>
      </c>
      <c r="C12" s="0" t="inlineStr">
        <is>
          <t>g</t>
        </is>
      </c>
      <c r="D12" s="4">
        <v>4.80</v>
      </c>
      <c r="E12" s="9">
        <v>1000</v>
      </c>
      <c r="F12" s="4">
        <f>(B12/E12)*D12</f>
        <v>1.68</v>
      </c>
      <c r="G12" s="0" t="inlineStr">
        <is>
          <t>=(Qtd Usada / Qtd Embalagem) * Custo</t>
        </is>
      </c>
    </row>
    <row r="13">
      <c r="A13" s="0" t="inlineStr">
        <is>
          <t>Ovos Selecionados</t>
        </is>
      </c>
      <c r="B13" s="9">
        <v>6</v>
      </c>
      <c r="C13" s="0" t="inlineStr">
        <is>
          <t>un</t>
        </is>
      </c>
      <c r="D13" s="4">
        <v>12.00</v>
      </c>
      <c r="E13" s="9">
        <v>12</v>
      </c>
      <c r="F13" s="4">
        <f>(B13/E13)*D13</f>
        <v>6.00</v>
      </c>
      <c r="G13" s="0" t="inlineStr">
        <is>
          <t>=(Qtd Usada / Qtd Embalagem) * Custo</t>
        </is>
      </c>
    </row>
    <row r="14">
      <c r="A14" s="0" t="inlineStr">
        <is>
          <t>Manteiga sem Sal</t>
        </is>
      </c>
      <c r="B14" s="9">
        <v>150</v>
      </c>
      <c r="C14" s="0" t="inlineStr">
        <is>
          <t>g</t>
        </is>
      </c>
      <c r="D14" s="4">
        <v>11.50</v>
      </c>
      <c r="E14" s="9">
        <v>200</v>
      </c>
      <c r="F14" s="4">
        <f>(B14/E14)*D14</f>
        <v>8.63</v>
      </c>
      <c r="G14" s="0" t="inlineStr">
        <is>
          <t>=(Qtd Usada / Qtd Embalagem) * Custo</t>
        </is>
      </c>
    </row>
    <row r="15">
      <c r="A15" s="0" t="inlineStr">
        <is>
          <t>Leite Integral</t>
        </is>
      </c>
      <c r="B15" s="9">
        <v>250</v>
      </c>
      <c r="C15" s="0" t="inlineStr">
        <is>
          <t>ml</t>
        </is>
      </c>
      <c r="D15" s="4">
        <v>5.20</v>
      </c>
      <c r="E15" s="9">
        <v>1000</v>
      </c>
      <c r="F15" s="4">
        <f>(B15/E15)*D15</f>
        <v>1.30</v>
      </c>
      <c r="G15" s="0" t="inlineStr">
        <is>
          <t>=(Qtd Usada / Qtd Embalagem) * Custo</t>
        </is>
      </c>
    </row>
    <row r="16">
      <c r="A16" s="0" t="inlineStr">
        <is>
          <t>Fermento Químico em Pó</t>
        </is>
      </c>
      <c r="B16" s="9">
        <v>20</v>
      </c>
      <c r="C16" s="0" t="inlineStr">
        <is>
          <t>g</t>
        </is>
      </c>
      <c r="D16" s="4">
        <v>6.00</v>
      </c>
      <c r="E16" s="9">
        <v>100</v>
      </c>
      <c r="F16" s="4">
        <f>(B16/E16)*D16</f>
        <v>1.20</v>
      </c>
      <c r="G16" s="0" t="inlineStr">
        <is>
          <t>=(Qtd Usada / Qtd Embalagem) * Custo</t>
        </is>
      </c>
    </row>
    <row r="17">
      <c r="A17" s="0" t="inlineStr">
        <is>
          <t>Chocolate em Pó 50% Cacau</t>
        </is>
      </c>
      <c r="B17" s="9">
        <v>100</v>
      </c>
      <c r="C17" s="0" t="inlineStr">
        <is>
          <t>g</t>
        </is>
      </c>
      <c r="D17" s="4">
        <v>16.00</v>
      </c>
      <c r="E17" s="9">
        <v>200</v>
      </c>
      <c r="F17" s="4">
        <f>(B17/E17)*D17</f>
        <v>8.00</v>
      </c>
      <c r="G17" s="0" t="inlineStr">
        <is>
          <t>=(Qtd Usada / Qtd Embalagem) * Custo</t>
        </is>
      </c>
    </row>
    <row r="18">
      <c r="A18" s="0" t="inlineStr">
        <is>
          <t>Recheio Brigadeiro Gourmet</t>
        </is>
      </c>
      <c r="B18" s="9">
        <v>600</v>
      </c>
      <c r="C18" s="0" t="inlineStr">
        <is>
          <t>g</t>
        </is>
      </c>
      <c r="D18" s="4">
        <v>35.00</v>
      </c>
      <c r="E18" s="9">
        <v>1000</v>
      </c>
      <c r="F18" s="4">
        <f>(B18/E18)*D18</f>
        <v>21.00</v>
      </c>
      <c r="G18" s="0" t="inlineStr">
        <is>
          <t>=(Qtd Usada / Qtd Embalagem) * Custo</t>
        </is>
      </c>
    </row>
    <row r="19">
      <c r="A19" s="0" t="inlineStr">
        <is>
          <t>Cobertura Ganache Nobre</t>
        </is>
      </c>
      <c r="B19" s="9">
        <v>400</v>
      </c>
      <c r="C19" s="0" t="inlineStr">
        <is>
          <t>g</t>
        </is>
      </c>
      <c r="D19" s="4">
        <v>47.65</v>
      </c>
      <c r="E19" s="9">
        <v>1000</v>
      </c>
      <c r="F19" s="4">
        <f>(B19/E19)*D19</f>
        <v>19.06</v>
      </c>
      <c r="G19" s="0" t="inlineStr">
        <is>
          <t>=(Qtd Usada / Qtd Embalagem) * Custo</t>
        </is>
      </c>
    </row>
    <!-- Subtotais de Insumos -->
    <row r="21" ht="22" customHeight="1">
      <c r="A21" s="3" t="inlineStr">
        <is>
          <t>Subtotal Ingredientes (Custo Direto Bruto)</t>
        </is>
      </c>
      <c r="B21"/>
      <c r="C21"/>
      <c r="D21"/>
      <c r="E21"/>
      <c r="F21" s="5">
        <f>SUM(F11:F19)</f>
        <v>69.07</v>
      </c>
      <c r="G21" s="3" t="inlineStr">
        <is>
          <t>Soma de todos os insumos sem quebra</t>
        </is>
      </c>
    </row>
    <row r="22" ht="22" customHeight="1">
      <c r="A22" s="3" t="inlineStr">
        <is>
          <t>Insumos c/ 3% Quebra Técnica</t>
        </is>
      </c>
      <c r="B22"/>
      <c r="C22"/>
      <c r="D22"/>
      <c r="E22"/>
      <c r="F22" s="6">
        <f>ROUND(F21*(1+'Parametros de Custo'!B39), 2)</f>
        <v>71.14</v>
      </c>
      <c r="G22" s="3" t="inlineStr">
        <is>
          <t>Custo real com segurança técnica (raspagem, queima, evaporação)</t>
        </is>
      </c>
    </row>
    <!-- DEMONSTRATIVO DE PREÇO (DRE SEBRAE / SENAC) -->
    <row r="24" ht="28" customHeight="1">
      <c r="A24" s="1" t="inlineStr">
        <is>
          <t>DEMONSTRATIVO DE PREÇO (DRE DA RECEITA — PADRÃO OFICIAL SEBRAE)</t>
        </is>
      </c>
      <c r="B24" s="1"/>
      <c r="C24" s="1"/>
      <c r="D24" s="1"/>
      <c r="E24" s="1"/>
      <c r="F24" s="1"/>
      <c r="G24" s="1"/>
    </row>
    <!-- BLOCO 1: COMPOSIÇÃO DE CUSTO (CALCULADO PRIMEIRO) -->
    <row r="26" ht="22" customHeight="1">
      <c r="A26" s="2" t="inlineStr">
        <is>
          <t>1. COMPOSIÇÃO DE CUSTO INTEGRAL DE PRODUÇÃO</t>
        </is>
      </c>
      <c r="B26" s="2" t="inlineStr">
        <is>
          <t>VALOR DO LOTE</t>
        </is>
      </c>
      <c r="C26" s="2" t="inlineStr">
        <is>
          <t>POR UNIDADE</t>
        </is>
      </c>
      <c r="D26" s="2"/>
      <c r="E26" s="2"/>
      <c r="F26" s="2"/>
      <c r="G26" s="2" t="inlineStr">
        <is>
          <t>MEMÓRIA DE CÁLCULO</t>
        </is>
      </c>
    </row>
    <row r="27">
      <c r="A27" s="0" t="inlineStr">
        <is>
          <t>Insumos (c/ 3% quebra técnica)</t>
        </is>
      </c>
      <c r="B27" s="4">
        <f>F22</f>
        <v>71.14</v>
      </c>
      <c r="C27" s="4">
        <f>ROUND(B27/$B$6, 2)</f>
        <v>6.47</v>
      </c>
      <c r="D27" s="0"/>
      <c r="E27" s="0"/>
      <c r="F27" s="0"/>
      <c r="G27" s="0" t="inlineStr">
        <is>
          <t>Custo de ingredientes do bolo inteiro dividido por 11 fatias.</t>
        </is>
      </c>
    </row>
    <row r="28">
      <c r="A28" s="0" t="inlineStr">
        <is>
          <t>Mão de Obra Direta (30 min)</t>
        </is>
      </c>
      <c r="B28" s="4">
        <f>ROUND($B$5*'Parametros de Custo'!$B$32, 2)</f>
        <v>8.52</v>
      </c>
      <c r="C28" s="4">
        <f>ROUND(B28/$B$6, 2)</f>
        <v>0.77</v>
      </c>
      <c r="D28" s="0"/>
      <c r="E28" s="0"/>
      <c r="F28" s="0"/>
      <c r="G28" s="0" t="inlineStr">
        <is>
          <t>= Tempo de preparo * Custo minuto MOD (R$ 8,52 / 11 = R$ 0,77/fat).</t>
        </is>
      </c>
    </row>
    <row r="29">
      <c r="A29" s="0" t="inlineStr">
        <is>
          <t>Custos Fixos Rateados (Estrutura)</t>
        </is>
      </c>
      <c r="B29" s="4">
        <f>ROUND($B$5*'Parametros de Custo'!$B$34, 2)</f>
        <v>1.89</v>
      </c>
      <c r="C29" s="4">
        <f>ROUND(B29/$B$6, 2)</f>
        <v>0.17</v>
      </c>
      <c r="D29" s="0"/>
      <c r="E29" s="0"/>
      <c r="F29" s="0"/>
      <c r="G29" s="0" t="inlineStr">
        <is>
          <t>= Tempo de preparo * Custo minuto Fixo (R$ 1,89 / 11 = R$ 0,17/fat).</t>
        </is>
      </c>
    </row>
    <row r="30">
      <c r="A30" s="0" t="inlineStr">
        <is>
          <t>Embalagem &amp; Adicionais</t>
        </is>
      </c>
      <c r="B30" s="4">
        <f>$B$7*$B$6</f>
        <v>0.00</v>
      </c>
      <c r="C30" s="4">
        <f>$B$7</f>
        <v>0.00</v>
      </c>
      <c r="D30" s="0"/>
      <c r="E30" s="0"/>
      <c r="F30" s="0"/>
      <c r="G30" s="0" t="inlineStr">
        <is>
          <t>Embalagem individual ou fitas especiais por fatia.</t>
        </is>
      </c>
    </row>
    <row r="31" ht="22" customHeight="1">
      <c r="A31" s="3" t="inlineStr">
        <is>
          <t>CUSTO UNITÁRIO TOTAL DE PRODUÇÃO</t>
        </is>
      </c>
      <c r="B31" s="6">
        <f>ROUND(SUM(B27:B30), 2)</f>
        <v>81.55</v>
      </c>
      <c r="C31" s="6">
        <f>ROUND(SUM(C27:C30), 2)</f>
        <v>7.41</v>
      </c>
      <c r="D31" s="0"/>
      <c r="E31" s="0"/>
      <c r="F31" s="0"/>
      <c r="G31" s="3" t="inlineStr">
        <is>
          <t>Custo integral para 1 fatia sair pronta da cozinha (insumos + MOD + fixos).</t>
        </is>
      </c>
    </row>
    <!-- BLOCO 2: PREÇO SUGERIDO -->
    <row r="33" ht="22" customHeight="1">
      <c r="A33" s="2" t="inlineStr">
        <is>
          <t>2. FORMAÇÃO DO PREÇO SUGERIDO (CARDÁPIO)</t>
        </is>
      </c>
      <c r="B33" s="2" t="inlineStr">
        <is>
          <t>VALOR</t>
        </is>
      </c>
      <c r="C33" s="2" t="inlineStr">
        <is>
          <t>UNIDADE</t>
        </is>
      </c>
      <c r="D33" s="2"/>
      <c r="E33" s="2"/>
      <c r="F33" s="2"/>
      <c r="G33" s="2" t="inlineStr">
        <is>
          <t>CONCEITO &amp; FÓRMULA SEBRAE</t>
        </is>
      </c>
    </row>
    <row r="34">
      <c r="A34" s="0" t="inlineStr">
        <is>
          <t>Markup Divisor</t>
        </is>
      </c>
      <c r="B34" s="8">
        <f>1-('Parametros de Custo'!$B$41+$B$8)</f>
        <v>0.325</v>
      </c>
      <c r="C34" s="0" t="inlineStr">
        <is>
          <t>índice</t>
        </is>
      </c>
      <c r="D34" s="0"/>
      <c r="E34" s="0"/>
      <c r="F34" s="0"/>
      <c r="G34" s="0" t="inlineStr">
        <is>
          <t>= 1 - (Taxas 7,5% + Margem Desejada 60%). Método oficial Sebrae/SENAC.</t>
        </is>
      </c>
    </row>
    <row r="35" ht="22" customHeight="1">
      <c r="A35" s="3" t="inlineStr">
        <is>
          <t>PREÇO SUGERIDO (CARDÁPIO)</t>
        </is>
      </c>
      <c r="B35" s="6">
        <f>ROUND(C31/B34, 2)</f>
        <v>22.80</v>
      </c>
      <c r="C35" s="3" t="inlineStr">
        <is>
          <t>R$ / un</t>
        </is>
      </c>
      <c r="D35" s="0"/>
      <c r="E35" s="0"/>
      <c r="F35" s="0"/>
      <c r="G35" s="3" t="inlineStr">
        <is>
          <t>= Custo Unitário Total (C31: R$ 7,41) / Markup Divisor (B34: 0,325) = R$ 22,80.</t>
        </is>
      </c>
    </row>
    <!-- BLOCO 3: MARGEM DE CONTRIBUIÇÃO (SEBRAE) -->
    <row r="37" ht="22" customHeight="1">
      <c r="A37" s="2" t="inlineStr">
        <is>
          <t>3. MARGEM DE CONTRIBUIÇÃO (METODOLOGIA SEBRAE)</t>
        </is>
      </c>
      <c r="B37" s="2" t="inlineStr">
        <is>
          <t>VALOR</t>
        </is>
      </c>
      <c r="C37" s="2" t="inlineStr">
        <is>
          <t>PERCENTUAL</t>
        </is>
      </c>
      <c r="D37" s="2"/>
      <c r="E37" s="2"/>
      <c r="F37" s="2"/>
      <c r="G37" s="2" t="inlineStr">
        <is>
          <t>SIGNIFICADO CONTÁBIL NO NEGÓCIO</t>
        </is>
      </c>
    </row>
    <row r="38">
      <c r="A38" s="0" t="inlineStr">
        <is>
          <t>(-) Custos Variáveis (Insumos + Emb.)</t>
        </is>
      </c>
      <c r="B38" s="12">
        <f>ROUND(-(C27+C30), 2)</f>
        <v>-6.47</v>
      </c>
      <c r="C38" s="8">
        <f>ABS(B38)/$B$35</f>
        <v>0.284</v>
      </c>
      <c r="D38" s="0"/>
      <c r="E38" s="0"/>
      <c r="F38" s="0"/>
      <c r="G38" s="0" t="inlineStr">
        <is>
          <t>Custo direto unitário de insumos (R$ 71,14 / 11) + embalagem. Só ocorre se o produto for feito.</t>
        </is>
      </c>
    </row>
    <row r="39">
      <c r="A39" s="0" t="inlineStr">
        <is>
          <t>(-) Despesas Variáveis (Taxas 7,5%)</t>
        </is>
      </c>
      <c r="B39" s="12">
        <f>ROUND(-($B$35*'Parametros de Custo'!$B$41), 2)</f>
        <v>-1.71</v>
      </c>
      <c r="C39" s="8">
        <f>ABS(B39)/$B$35</f>
        <v>0.075</v>
      </c>
      <c r="D39" s="0"/>
      <c r="E39" s="0"/>
      <c r="F39" s="0"/>
      <c r="G39" s="0" t="inlineStr">
        <is>
          <t>Taxa retida na fonte pela maquininha e impostos sobre a venda de R$ 22,80.</t>
        </is>
      </c>
    </row>
    <row r="40" ht="22" customHeight="1">
      <c r="A40" s="3" t="inlineStr">
        <is>
          <t>(=) MARGEM DE CONTRIBUIÇÃO (MC)</t>
        </is>
      </c>
      <c r="B40" s="17">
        <f>ROUND($B$35+B38+B39, 2)</f>
        <v>14.62</v>
      </c>
      <c r="C40" s="15">
        <f>B40/$B$35</f>
        <v>0.641</v>
      </c>
      <c r="D40" s="0"/>
      <c r="E40" s="0"/>
      <c r="F40" s="0"/>
      <c r="G40" s="3" t="inlineStr">
        <is>
          <t>Valor que cada fatia vendida coloca limpo no caixa para pagar as contas fixas e dar lucro.</t>
        </is>
      </c>
    </row>
    <row r="41">
      <c r="A41" s="3" t="inlineStr">
        <is>
          <t>Classificação Sebrae da Margem</t>
        </is>
      </c>
      <c r="B41" s="13" t="inlineStr">
        <is>
          <t>Excelente (&gt; 50%)</t>
        </is>
      </c>
      <c r="C41" s="13" t="inlineStr">
        <is>
          <t>64,1%</t>
        </is>
      </c>
      <c r="D41" s="0"/>
      <c r="E41" s="0"/>
      <c r="F41" s="0"/>
      <c r="G41" s="0" t="inlineStr">
        <is>
          <t>Termômetro Sebrae: Alerta (&lt;30%), Saudável (30% a 50%) e Excelente (&gt;50%).</t>
        </is>
      </c>
    </row>
    <!-- BLOCO 4: PONTO DE EQUILÍBRIO -->
    <row r="43" ht="22" customHeight="1">
      <c r="A43" s="2" t="inlineStr">
        <is>
          <t>4. PONTO DE EQUILÍBRIO (BREAK-EVEN — PAGAR R$ 3.665,00/MÊS)</t>
        </is>
      </c>
      <c r="B43" s="2" t="inlineStr">
        <is>
          <t>VALOR</t>
        </is>
      </c>
      <c r="C43" s="2" t="inlineStr">
        <is>
          <t>UNIDADE</t>
        </is>
      </c>
      <c r="D43" s="2"/>
      <c r="E43" s="2"/>
      <c r="F43" s="2"/>
      <c r="G43" s="2" t="inlineStr">
        <is>
          <t>META OPERACIONAL</t>
        </is>
      </c>
    </row>
    <row r="44">
      <c r="A44" s="3" t="inlineStr">
        <is>
          <t>Meta em Unidades Mensal</t>
        </is>
      </c>
      <c r="B44" s="9">
        <f>CEILING(('Parametros de Custo'!$B$14+'Parametros de Custo'!$B$22)/$B$40, 1)</f>
        <v>251</v>
      </c>
      <c r="C44" s="0" t="inlineStr">
        <is>
          <t>unidades / mês</t>
        </is>
      </c>
      <c r="D44" s="0"/>
      <c r="E44" s="0"/>
      <c r="F44" s="0"/>
      <c r="G44" s="0" t="inlineStr">
        <is>
          <t>Quantidade para cobrir 100% dos custos fixos (R$ 665) e salários/pró-labore (R$ 3.000).</t>
        </is>
      </c>
    </row>
    <row r="45">
      <c r="A45" s="3" t="inlineStr">
        <is>
          <t>Meta em Unidades Diária</t>
        </is>
      </c>
      <c r="B45" s="9">
        <f>CEILING(B44/'Parametros de Custo'!$B$25, 1)</f>
        <v>12</v>
      </c>
      <c r="C45" s="0" t="inlineStr">
        <is>
          <t>unidades / dia</t>
        </is>
      </c>
      <c r="D45" s="0"/>
      <c r="E45" s="0"/>
      <c r="F45" s="0"/>
      <c r="G45" s="0" t="inlineStr">
        <is>
          <t>Meta diária de produção/vendas (~1 bolo inteiro fatiado por dia útil de operação).</t>
        </is>
      </c>
    </row>
    <row r="46">
      <c r="A46" s="3" t="inlineStr">
        <is>
          <t>Meta em Faturamento Mensal</t>
        </is>
      </c>
      <c r="B46" s="5">
        <f>ROUND(B44*$B$35, 2)</f>
        <v>5722.80</v>
      </c>
      <c r="C46" s="0" t="inlineStr">
        <is>
          <t>R$ / mês</t>
        </is>
      </c>
      <c r="D46" s="0"/>
      <c r="E46" s="0"/>
      <c r="F46" s="0"/>
      <c r="G46" s="0" t="inlineStr">
        <is>
          <t>Faturamento bruto mínimo com esse produto para a empresa atingir o zero a zero.</t>
        </is>
      </c>
    </row>
    <!-- BLOCO 5: LUCRO LÍQUIDO REAL -->
    <row r="48" ht="22" customHeight="1">
      <c r="A48" s="2" t="inlineStr">
        <is>
          <t>5. LUCRO LÍQUIDO REAL NO CAIXA</t>
        </is>
      </c>
      <c r="B48" s="2" t="inlineStr">
        <is>
          <t>VALOR</t>
        </is>
      </c>
      <c r="C48" s="2" t="inlineStr">
        <is>
          <t>PERCENTUAL</t>
        </is>
      </c>
      <c r="D48" s="2"/>
      <c r="E48" s="2"/>
      <c r="F48" s="2"/>
      <c r="G48" s="2" t="inlineStr">
        <is>
          <t>VISÃO CONTÁBIL INTEGRAL</t>
        </is>
      </c>
    </row>
    <row r="49" ht="22" customHeight="1">
      <c r="A49" s="3" t="inlineStr">
        <is>
          <t>LUCRO LÍQUIDO REAL NO CAIXA</t>
        </is>
      </c>
      <c r="B49" s="10">
        <f>ROUND($B$35-C31-($B$35*'Parametros de Custo'!$B$41), 2)</f>
        <v>13.68</v>
      </c>
      <c r="C49" s="15">
        <f>B49/$B$35</f>
        <v>0.600</v>
      </c>
      <c r="D49" s="0"/>
      <c r="E49" s="0"/>
      <c r="F49" s="0"/>
      <c r="G49" s="10">
        <f>"Lucro líquido real no caixa: " &amp; TEXT(C49, "0.0%") &amp; " por fatia vendida."</f>
        <v>Lucro líquido real no caixa: 60.0% por fatia vendida.</v>
      </c>
    </row>
  </sheetData>
</worksheet>
</file>

<file path=xl/worksheets/sheet3.xml><?xml version="1.0" encoding="utf-8"?>
<worksheet xmlns="http://schemas.openxmlformats.org/spreadsheetml/2006/main">
  <cols>
    <col min="1" max="1" width="36" customWidth="1"/>
    <col min="2" max="2" width="20" customWidth="1"/>
    <col min="3" max="3" width="18" customWidth="1"/>
    <col min="4" max="4" width="20" customWidth="1"/>
    <col min="5" max="5" width="22" customWidth="1"/>
    <col min="6" max="6" width="55" customWidth="1"/>
  </cols>
  <sheetData>
    <row r="1" ht="32" customHeight="1">
      <c r="A1" s="1" t="inlineStr">
        <is>
          <t>PONTO DE EQUILÍBRIO &amp; SIMULADOR DE METAS MENSAIS</t>
        </is>
      </c>
      <c r="B1" s="1"/>
      <c r="C1" s="1"/>
      <c r="D1" s="1"/>
      <c r="E1" s="1"/>
      <c r="F1" s="1"/>
    </row>
    <!-- Bloco 1 -->
    <row r="3" ht="24" customHeight="1">
      <c r="A3" s="2" t="inlineStr">
        <is>
          <t>1. ESTRUTURA GERAL DE GASTOS FIXOS MENSAIS</t>
        </is>
      </c>
      <c r="B3" s="2" t="inlineStr">
        <is>
          <t>VALOR MENSAL (R$)</t>
        </is>
      </c>
      <c r="C3" s="2" t="inlineStr">
        <is>
          <t>ORIGEM DOS DADOS</t>
        </is>
      </c>
      <c r="D3" s="2"/>
      <c r="E3" s="2"/>
      <c r="F3" s="2" t="inlineStr">
        <is>
          <t>DETALHES</t>
        </is>
      </c>
    </row>
    <row r="4">
      <c r="A4" s="0" t="inlineStr">
        <is>
          <t>Total de Custos Fixos (Estrutura)</t>
        </is>
      </c>
      <c r="B4" s="4">
        <f>'Parametros de Custo'!B14</f>
        <v>665.00</v>
      </c>
      <c r="C4" s="0" t="inlineStr">
        <is>
          <t>Aba Parâmetros (B14)</t>
        </is>
      </c>
      <c r="D4" s="0"/>
      <c r="E4" s="0"/>
      <c r="F4" s="0" t="inlineStr">
        <is>
          <t>Luz, Gás, Água, Internet, Contador, Manutenção e Limpeza</t>
        </is>
      </c>
    </row>
    <row r="5">
      <c r="A5" s="0" t="inlineStr">
        <is>
          <t>Total de Mão de Obra (Pró-Labore + Equipe)</t>
        </is>
      </c>
      <c r="B5" s="4">
        <f>'Parametros de Custo'!B22</f>
        <v>3000.00</v>
      </c>
      <c r="C4" s="0" t="inlineStr">
        <is>
          <t>Aba Parâmetros (B22)</t>
        </is>
      </c>
      <c r="D5" s="0"/>
      <c r="E5" s="0"/>
      <c r="F5" s="0" t="inlineStr">
        <is>
          <t>Salário fixo do Confeiteiro + Equipe com Encargos Trabalhistas</t>
        </is>
      </c>
    </row>
    <row r="6" ht="22" customHeight="1">
      <c r="A6" s="3" t="inlineStr">
        <is>
          <t>META DE COBERTURA FIXA MENSAL</t>
        </is>
      </c>
      <c r="B6" s="6">
        <f>B4+B5</f>
        <v>3665.00</v>
      </c>
      <c r="C6" s="3" t="inlineStr">
        <is>
          <t>Meta Total a Pagar</t>
        </is>
      </c>
      <c r="D6" s="0"/>
      <c r="E6" s="0"/>
      <c r="F6" s="3" t="inlineStr">
        <is>
          <t>Total necessário todo mês para quitar 100% das contas e salários da empresa</t>
        </is>
      </c>
    </row>
    <!-- Bloco 2: Simulação de Volumes -->
    <row r="8" ht="24" customHeight="1">
      <c r="A8" s="2" t="inlineStr">
        <is>
          <t>2. SIMULAÇÃO DE CENÁRIOS POR VOLUME DE VENDAS</t>
        </is>
      </c>
      <c r="B8" s="2" t="inlineStr">
        <is>
          <t>VOLUME DE VENDAS</t>
        </is>
      </c>
      <c r="C8" s="2" t="inlineStr">
        <is>
          <t>FATURAMENTO BRUTO</t>
        </is>
      </c>
      <c r="D8" s="2" t="inlineStr">
        <is>
          <t>MARGEM GERADA (MC)</t>
        </is>
      </c>
      <c r="E8" s="2" t="inlineStr">
        <is>
          <t>RESULTADO NO CAIXA</t>
        </is>
      </c>
      <c r="F8" s="2" t="inlineStr">
        <is>
          <t>DIAGNÓSTICO FINANCEIRO &amp; STATUS</t>
        </is>
      </c>
    </row>
    <row r="9">
      <c r="A9" s="0" t="inlineStr">
        <is>
          <t>Cenário 1: Volume Baixo</t>
        </is>
      </c>
      <c r="B9" s="9">
        <v>100</v>
      </c>
      <c r="C9" s="4">
        <f>B9*'Ficha Tecnica &amp; DRE Sebrae'!$B$35</f>
        <v>2280.00</v>
      </c>
      <c r="D9" s="4">
        <f>B9*'Ficha Tecnica &amp; DRE Sebrae'!$B$40</f>
        <v>1462.00</v>
      </c>
      <c r="E9" s="16">
        <f>D9-$B$6</f>
        <v>-2203.00</v>
      </c>
      <c r="F9" s="0" t="inlineStr">
        <is>
          <t>DÉFICIT — Vendas cobrem apenas 40% das despesas fixas. Falta vender mais.</t>
        </is>
      </c>
    </row>
    <row r="10">
      <c r="A10" s="0" t="inlineStr">
        <is>
          <t>Cenário 2: Volume Médio</t>
        </is>
      </c>
      <c r="B10" s="9">
        <v>200</v>
      </c>
      <c r="C10" s="4">
        <f>B10*'Ficha Tecnica &amp; DRE Sebrae'!$B$35</f>
        <v>4560.00</v>
      </c>
      <c r="D10" s="4">
        <f>B10*'Ficha Tecnica &amp; DRE Sebrae'!$B$40</f>
        <v>2924.00</v>
      </c>
      <c r="E10" s="16">
        <f>D10-$B$6</f>
        <v>-741.00</v>
      </c>
      <c r="F10" s="0" t="inlineStr">
        <is>
          <t>QUASE LÁ — 80% das contas pagas. Faltam apenas 51 fatias para o equilíbrio.</t>
        </is>
      </c>
    </row>
    <row r="11" ht="22" customHeight="1">
      <c r="A11" s="3" t="inlineStr">
        <is>
          <t>Cenário 3: PONTO DE EQUILÍBRIO</t>
        </is>
      </c>
      <c r="B11" s="9">
        <v>251</v>
      </c>
      <c r="C11" s="5">
        <f>B11*'Ficha Tecnica &amp; DRE Sebrae'!$B$35</f>
        <v>5722.80</v>
      </c>
      <c r="D11" s="5">
        <f>B11*'Ficha Tecnica &amp; DRE Sebrae'!$B$40</f>
        <v>3669.62</v>
      </c>
      <c r="E11" s="10">
        <f>D11-$B$6</f>
        <v>4.62</v>
      </c>
      <c r="F11" s="3" t="inlineStr">
        <is>
          <t>META ATINGIDA (100%) — Contas e salários quitados! Zero a zero atingido.</t>
        </is>
      </c>
    </row>
    <row r="12">
      <c r="A12" s="0" t="inlineStr">
        <is>
          <t>Cenário 4: Meta Superada</t>
        </is>
      </c>
      <c r="B12" s="9">
        <v>350</v>
      </c>
      <c r="C12" s="4">
        <f>B12*'Ficha Tecnica &amp; DRE Sebrae'!$B$35</f>
        <v>7980.00</v>
      </c>
      <c r="D12" s="4">
        <f>B12*'Ficha Tecnica &amp; DRE Sebrae'!$B$40</f>
        <v>5117.00</v>
      </c>
      <c r="E12" s="10">
        <f>D12-$B$6</f>
        <v>1452.00</v>
      </c>
      <c r="F12" s="0" t="inlineStr">
        <is>
          <t>LUCRO EXCEDENTE — R$ 1.452 limpos no bolso acima de todas as contas e pró-labore.</t>
        </is>
      </c>
    </row>
    <row r="13">
      <c r="A13" s="0" t="inlineStr">
        <is>
          <t>Cenário 5: Alta Escala</t>
        </is>
      </c>
      <c r="B13" s="9">
        <v>500</v>
      </c>
      <c r="C13" s="4">
        <f>B13*'Ficha Tecnica &amp; DRE Sebrae'!$B$35</f>
        <v>11400.00</v>
      </c>
      <c r="D13" s="4">
        <f>B13*'Ficha Tecnica &amp; DRE Sebrae'!$B$40</f>
        <v>7310.00</v>
      </c>
      <c r="E13" s="10">
        <f>D13-$B$6</f>
        <v>3645.00</v>
      </c>
      <c r="F13" s="0" t="inlineStr">
        <is>
          <t>EXCELÊNCIA — Empresa dobra o pró-labore e forma reserva robusta de capital.</t>
        </is>
      </c>
    </row>
    <!-- Bloco 3: Guia dos 3 Estágios -->
    <row r="15" ht="24" customHeight="1">
      <c r="A15" s="2" t="inlineStr">
        <is>
          <t>3. OS 3 ESTÁGIOS FINANCEIROS DA SUA CONFEITARIA</t>
        </is>
      </c>
      <c r="B15" s="2" t="inlineStr">
        <is>
          <t>FAIXA DE FATIAS</t>
        </is>
      </c>
      <c r="C15" s="2" t="inlineStr">
        <is>
          <t>DESTINO DO DINHEIRO</t>
        </is>
      </c>
      <c r="D15" s="2"/>
      <c r="E15" s="2"/>
      <c r="F15" s="2" t="inlineStr">
        <is>
          <t>AÇÃO RECOMENDADA</t>
        </is>
      </c>
    </row>
    <row r="16">
      <c r="A16" s="3" t="inlineStr">
        <is>
          <t>1. Antes da Meta (0 a 250 fatias)</t>
        </is>
      </c>
      <c r="B16" s="0" t="inlineStr">
        <is>
          <t>Até 250 fatias</t>
        </is>
      </c>
      <c r="C16" s="0" t="inlineStr">
        <is>
          <t>Pagar contas fixas</t>
        </is>
      </c>
      <c r="D16" s="0"/>
      <c r="E16" s="0"/>
      <c r="F16" s="0" t="inlineStr">
        <is>
          <t>Focar em divulgação, ativação de clientes no WhatsApp e combos promocionais.</t>
        </is>
      </c>
    </row>
    <row r="17">
      <c r="A17" s="3" t="inlineStr">
        <is>
          <t>2. Ponto de Equilíbrio (251 fatias)</t>
        </is>
      </c>
      <c r="B17" s="0" t="inlineStr">
        <is>
          <t>251 fatias (12/dia)</t>
        </is>
      </c>
      <c r="C17" s="0" t="inlineStr">
        <is>
          <t>Contas 100% quitadas</t>
        </is>
      </c>
      <c r="D17" s="0"/>
      <c r="E17" s="0"/>
      <c r="F17" s="0" t="inlineStr">
        <is>
          <t>Segurança total: salários de R$ 3.000 e aluguel/luz/gás pagos. Risco zero.</t>
        </is>
      </c>
    </row>
    <row r="18">
      <c r="A18" s="3" t="inlineStr">
        <is>
          <t>3. Lucro Excedente (252+ fatias)</t>
        </is>
      </c>
      <c r="B18" s="0" t="inlineStr">
        <is>
          <t>A partir de 252 fatias</t>
        </is>
      </c>
      <c r="C18" s="0" t="inlineStr">
        <is>
          <t>Lucro puro no caixa</t>
        </is>
      </c>
      <c r="D18" s="0"/>
      <c r="E18" s="0"/>
      <c r="F18" s="0" t="inlineStr">
        <is>
          <t>Cada fatia extra gera R$ 14,62 de lucro puro para divisão de sócios ou investimento.</t>
        </is>
      </c>
    </row>
  </sheetData>
</worksheet>
</file>